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68ba72cd9f1556a/ドキュメント/"/>
    </mc:Choice>
  </mc:AlternateContent>
  <xr:revisionPtr revIDLastSave="265895" documentId="8_{0A34F9F7-7AE8-4DEE-B64A-A1AEDA49135A}" xr6:coauthVersionLast="47" xr6:coauthVersionMax="47" xr10:uidLastSave="{738D312D-5570-45E3-8BD3-F8935C263AF2}"/>
  <bookViews>
    <workbookView xWindow="-120" yWindow="-120" windowWidth="29040" windowHeight="15720" tabRatio="375" xr2:uid="{760E6B1A-0F09-4968-9808-A3918262AC65}"/>
  </bookViews>
  <sheets>
    <sheet name="角度合わせこみ" sheetId="4" r:id="rId1"/>
    <sheet name="マクロが動かない場合" sheetId="5" r:id="rId2"/>
    <sheet name="history" sheetId="6" r:id="rId3"/>
  </sheets>
  <definedNames>
    <definedName name="arrow_depth">角度合わせこみ!$W$32</definedName>
    <definedName name="arrow_length">角度合わせこみ!$W$30</definedName>
    <definedName name="arrow_width">角度合わせこみ!$W$31</definedName>
    <definedName name="degree1">角度合わせこみ!$Z$10</definedName>
    <definedName name="degree2">角度合わせこみ!$Z$11</definedName>
    <definedName name="degree3">角度合わせこみ!$Z$12</definedName>
    <definedName name="flag_lock">角度合わせこみ!$AB$9</definedName>
    <definedName name="hoseix1">角度合わせこみ!$W$10</definedName>
    <definedName name="hoseix2">角度合わせこみ!$W$11</definedName>
    <definedName name="hoseix3">角度合わせこみ!$W$12</definedName>
    <definedName name="hoseiy1">角度合わせこみ!$X$10</definedName>
    <definedName name="hoseiy2">角度合わせこみ!$X$11</definedName>
    <definedName name="hoseiy3">角度合わせこみ!$X$12</definedName>
    <definedName name="lock_degree1">角度合わせこみ!$AB$10</definedName>
    <definedName name="lock_degree2">角度合わせこみ!$AB$11</definedName>
    <definedName name="lock_degree3">角度合わせこみ!$AB$12</definedName>
    <definedName name="offsetx1">角度合わせこみ!$W$40</definedName>
    <definedName name="offsetx2">角度合わせこみ!$W$41</definedName>
    <definedName name="offsetx3">角度合わせこみ!$W$42</definedName>
    <definedName name="offsety1">角度合わせこみ!$X$40</definedName>
    <definedName name="offsety2">角度合わせこみ!$X$41</definedName>
    <definedName name="offsety3">角度合わせこみ!$X$42</definedName>
    <definedName name="rX">角度合わせこみ!$W$1</definedName>
    <definedName name="rY">角度合わせこみ!$W$2</definedName>
    <definedName name="rZ">角度合わせこみ!$W$3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6" i="4" l="1"/>
  <c r="AC3" i="4"/>
  <c r="AB3" i="4"/>
  <c r="Z3" i="4"/>
  <c r="Y3" i="4"/>
  <c r="AG2" i="4"/>
  <c r="AF2" i="4"/>
  <c r="AD2" i="4"/>
  <c r="AC2" i="4"/>
  <c r="AG1" i="4" l="1"/>
  <c r="AE1" i="4"/>
  <c r="AA1" i="4"/>
  <c r="Y1" i="4"/>
  <c r="Y12" i="4" l="1"/>
  <c r="Y10" i="4"/>
  <c r="Y11" i="4"/>
  <c r="X11" i="4"/>
  <c r="AE11" i="4" a="1"/>
  <c r="AE11" i="4" s="1"/>
  <c r="X12" i="4"/>
  <c r="X10" i="4"/>
  <c r="AE10" i="4" a="1"/>
  <c r="AE10" i="4" s="1"/>
  <c r="W12" i="4"/>
  <c r="W11" i="4"/>
  <c r="W10" i="4"/>
  <c r="AE12" i="4" a="1"/>
  <c r="AE12" i="4" s="1"/>
  <c r="Z11" i="4" l="1"/>
  <c r="Z10" i="4"/>
  <c r="Z12" i="4"/>
  <c r="X21" i="4"/>
  <c r="X19" i="4"/>
  <c r="X17" i="4"/>
  <c r="W21" i="4"/>
  <c r="W19" i="4"/>
  <c r="W17" i="4"/>
  <c r="W22" i="4" l="1"/>
  <c r="X22" i="4"/>
  <c r="X24" i="4" l="1"/>
  <c r="W24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<sst xmlns="http://schemas.openxmlformats.org/spreadsheetml/2006/main" count="33" uniqueCount="33">
  <si>
    <t>θx</t>
    <phoneticPr fontId="1"/>
  </si>
  <si>
    <t>θy</t>
    <phoneticPr fontId="1"/>
  </si>
  <si>
    <t>θz</t>
    <phoneticPr fontId="1"/>
  </si>
  <si>
    <t>face1オフセット</t>
    <phoneticPr fontId="1"/>
  </si>
  <si>
    <t>face2オフセット</t>
    <phoneticPr fontId="1"/>
  </si>
  <si>
    <t>face3オフセット</t>
    <phoneticPr fontId="1"/>
  </si>
  <si>
    <t>許可する</t>
    <rPh sb="0" eb="2">
      <t>キョカ</t>
    </rPh>
    <phoneticPr fontId="1"/>
  </si>
  <si>
    <t>にチェック、OK</t>
    <phoneticPr fontId="1"/>
  </si>
  <si>
    <t>編集を有効に</t>
    <rPh sb="0" eb="2">
      <t>ヘンシュウ</t>
    </rPh>
    <rPh sb="3" eb="5">
      <t>ユウコウ</t>
    </rPh>
    <phoneticPr fontId="1"/>
  </si>
  <si>
    <t>軸1</t>
    <rPh sb="0" eb="1">
      <t>ジク</t>
    </rPh>
    <phoneticPr fontId="1"/>
  </si>
  <si>
    <t>軸2</t>
    <rPh sb="0" eb="1">
      <t>ジク</t>
    </rPh>
    <phoneticPr fontId="1"/>
  </si>
  <si>
    <t>軸3</t>
    <rPh sb="0" eb="1">
      <t>ジク</t>
    </rPh>
    <phoneticPr fontId="1"/>
  </si>
  <si>
    <t>回転後軸1</t>
  </si>
  <si>
    <t>回転後軸2</t>
  </si>
  <si>
    <t>回転後軸3</t>
  </si>
  <si>
    <t>(Microsoft365用 検算式)</t>
    <rPh sb="13" eb="14">
      <t>ヨウ</t>
    </rPh>
    <rPh sb="15" eb="17">
      <t>ケンザン</t>
    </rPh>
    <rPh sb="17" eb="18">
      <t>シキ</t>
    </rPh>
    <phoneticPr fontId="1"/>
  </si>
  <si>
    <t>X</t>
    <phoneticPr fontId="1"/>
  </si>
  <si>
    <t>Y</t>
    <phoneticPr fontId="1"/>
  </si>
  <si>
    <t>Z</t>
    <phoneticPr fontId="1"/>
  </si>
  <si>
    <t>date</t>
    <phoneticPr fontId="1"/>
  </si>
  <si>
    <t>description</t>
    <phoneticPr fontId="1"/>
  </si>
  <si>
    <t>公開</t>
    <rPh sb="0" eb="2">
      <t>コウカイ</t>
    </rPh>
    <phoneticPr fontId="1"/>
  </si>
  <si>
    <t>古いバージョンに対応するため、行列計算部を展開。MMULT関数、TRANSPOSE関数、WRAPROWS関数を除去。</t>
    <rPh sb="0" eb="1">
      <t>フル</t>
    </rPh>
    <rPh sb="8" eb="10">
      <t>タイオウ</t>
    </rPh>
    <rPh sb="15" eb="17">
      <t>ギョウレツ</t>
    </rPh>
    <rPh sb="17" eb="19">
      <t>ケイサン</t>
    </rPh>
    <rPh sb="19" eb="20">
      <t>ブ</t>
    </rPh>
    <rPh sb="21" eb="23">
      <t>テンカイ</t>
    </rPh>
    <rPh sb="29" eb="31">
      <t>カンスウ</t>
    </rPh>
    <rPh sb="41" eb="43">
      <t>カンスウ</t>
    </rPh>
    <rPh sb="52" eb="54">
      <t>カンスウ</t>
    </rPh>
    <rPh sb="55" eb="57">
      <t>ジョキョ</t>
    </rPh>
    <phoneticPr fontId="1"/>
  </si>
  <si>
    <t>lock</t>
    <phoneticPr fontId="1"/>
  </si>
  <si>
    <t>axis1</t>
    <phoneticPr fontId="1"/>
  </si>
  <si>
    <t>axis2</t>
    <phoneticPr fontId="1"/>
  </si>
  <si>
    <t>axis3</t>
    <phoneticPr fontId="1"/>
  </si>
  <si>
    <t>XY平面角度</t>
    <rPh sb="2" eb="4">
      <t>ヘイメン</t>
    </rPh>
    <rPh sb="4" eb="6">
      <t>カクド</t>
    </rPh>
    <phoneticPr fontId="1"/>
  </si>
  <si>
    <t>長さ</t>
    <rPh sb="0" eb="1">
      <t>ナガ</t>
    </rPh>
    <phoneticPr fontId="1"/>
  </si>
  <si>
    <t>幅</t>
    <rPh sb="0" eb="1">
      <t>ハバ</t>
    </rPh>
    <phoneticPr fontId="1"/>
  </si>
  <si>
    <t>奥行き</t>
    <rPh sb="0" eb="2">
      <t>オクユ</t>
    </rPh>
    <phoneticPr fontId="1"/>
  </si>
  <si>
    <t>軸ロック、切り替えボタン追加</t>
    <rPh sb="0" eb="1">
      <t>ジク</t>
    </rPh>
    <rPh sb="5" eb="6">
      <t>キ</t>
    </rPh>
    <rPh sb="7" eb="8">
      <t>カ</t>
    </rPh>
    <rPh sb="12" eb="14">
      <t>ツイカ</t>
    </rPh>
    <phoneticPr fontId="1"/>
  </si>
  <si>
    <t>この辺に好きな画像を貼り付けてください</t>
    <rPh sb="2" eb="3">
      <t>ヘン</t>
    </rPh>
    <rPh sb="4" eb="5">
      <t>ス</t>
    </rPh>
    <rPh sb="7" eb="9">
      <t>ガゾウ</t>
    </rPh>
    <rPh sb="10" eb="11">
      <t>ハ</t>
    </rPh>
    <rPh sb="12" eb="13">
      <t>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</si>
</sst>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&quot;°&quot;"/>
    <numFmt numFmtId="177" formatCode="0.???"/>
    <numFmt numFmtId="178" formatCode="0.000_ "/>
    <numFmt numFmtId="179" formatCode="0&quot;°&quot;"/>
    <numFmt numFmtId="180" formatCode="&quot;lock&quot;#"/>
  </numFmts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 tint="0.499984740745262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22"/>
      <color rgb="FF000000"/>
      <name val="游ゴシック"/>
      <family val="3"/>
      <charset val="128"/>
    </font>
    <font>
      <sz val="10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theme="1" tint="0.499984740745262"/>
      </left>
      <right/>
      <top/>
      <bottom/>
      <diagonal/>
    </border>
    <border>
      <left/>
      <right style="thin">
        <color theme="1" tint="0.499984740745262"/>
      </right>
      <top/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2" fontId="0" fillId="0" borderId="0" xfId="0" applyNumberFormat="1">
      <alignment vertical="center"/>
    </xf>
    <xf numFmtId="0" fontId="2" fillId="2" borderId="0" xfId="0" applyFont="1" applyFill="1">
      <alignment vertical="center"/>
    </xf>
    <xf numFmtId="177" fontId="0" fillId="0" borderId="0" xfId="0" applyNumberFormat="1">
      <alignment vertical="center"/>
    </xf>
    <xf numFmtId="176" fontId="4" fillId="0" borderId="0" xfId="0" applyNumberFormat="1" applyFont="1">
      <alignment vertical="center"/>
    </xf>
    <xf numFmtId="0" fontId="2" fillId="2" borderId="1" xfId="0" applyFont="1" applyFill="1" applyBorder="1">
      <alignment vertical="center"/>
    </xf>
    <xf numFmtId="0" fontId="2" fillId="2" borderId="2" xfId="0" applyFont="1" applyFill="1" applyBorder="1">
      <alignment vertical="center"/>
    </xf>
    <xf numFmtId="2" fontId="0" fillId="0" borderId="2" xfId="0" applyNumberFormat="1" applyBorder="1">
      <alignment vertical="center"/>
    </xf>
    <xf numFmtId="2" fontId="0" fillId="0" borderId="1" xfId="0" applyNumberFormat="1" applyBorder="1">
      <alignment vertical="center"/>
    </xf>
    <xf numFmtId="178" fontId="0" fillId="0" borderId="0" xfId="0" applyNumberFormat="1">
      <alignment vertical="center"/>
    </xf>
    <xf numFmtId="179" fontId="4" fillId="0" borderId="0" xfId="0" applyNumberFormat="1" applyFont="1">
      <alignment vertical="center"/>
    </xf>
    <xf numFmtId="14" fontId="0" fillId="0" borderId="0" xfId="0" applyNumberFormat="1">
      <alignment vertical="center"/>
    </xf>
    <xf numFmtId="180" fontId="0" fillId="0" borderId="0" xfId="0" applyNumberFormat="1">
      <alignment vertical="center"/>
    </xf>
    <xf numFmtId="176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DDDDDD"/>
      <color rgb="FFFF7171"/>
      <color rgb="FF74B2FC"/>
      <color rgb="FF3BFF52"/>
      <color rgb="FFC0C0C0"/>
      <color rgb="FF5F5F5F"/>
      <color rgb="FF3333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5513856737592349E-2"/>
          <c:y val="8.1460164510954822E-2"/>
          <c:w val="0.89689564189356707"/>
          <c:h val="0.850673848388528"/>
        </c:manualLayout>
      </c:layout>
      <c:scatterChart>
        <c:scatterStyle val="lineMarker"/>
        <c:varyColors val="0"/>
        <c:ser>
          <c:idx val="3"/>
          <c:order val="0"/>
          <c:tx>
            <c:v>lock</c:v>
          </c:tx>
          <c:spPr>
            <a:ln w="15240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角度合わせこみ!$W$23:$W$24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xVal>
          <c:yVal>
            <c:numRef>
              <c:f>角度合わせこみ!$X$23:$X$24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E8-434B-B417-246D9E104C36}"/>
            </c:ext>
          </c:extLst>
        </c:ser>
        <c:ser>
          <c:idx val="2"/>
          <c:order val="1"/>
          <c:tx>
            <c:v>軸1</c:v>
          </c:tx>
          <c:spPr>
            <a:ln w="38100">
              <a:solidFill>
                <a:srgbClr val="FF0000"/>
              </a:solidFill>
              <a:tailEnd type="oval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FFA-477E-A66B-E8768940CC9B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1600"/>
                  </a:pPr>
                  <a:endParaRPr lang="ja-JP"/>
                </a:p>
              </c:txPr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FFA-477E-A66B-E8768940CC9B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角度合わせこみ!$W$16:$W$17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0.86602540378443871</c:v>
                </c:pt>
              </c:numCache>
            </c:numRef>
          </c:xVal>
          <c:yVal>
            <c:numRef>
              <c:f>角度合わせこみ!$X$16:$X$17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0.12940952255126034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CF-49FC-91AD-21D0AE8F2143}"/>
            </c:ext>
          </c:extLst>
        </c:ser>
        <c:ser>
          <c:idx val="0"/>
          <c:order val="2"/>
          <c:tx>
            <c:v>軸2</c:v>
          </c:tx>
          <c:spPr>
            <a:ln w="38100">
              <a:solidFill>
                <a:srgbClr val="00B050"/>
              </a:solidFill>
              <a:tailEnd type="oval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FFA-477E-A66B-E8768940CC9B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1600"/>
                  </a:pPr>
                  <a:endParaRPr lang="ja-JP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FFA-477E-A66B-E8768940CC9B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角度合わせこみ!$W$18:$W$19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xVal>
          <c:yVal>
            <c:numRef>
              <c:f>角度合わせこみ!$X$18:$X$19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0.96592582628906831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04CF-49FC-91AD-21D0AE8F2143}"/>
            </c:ext>
          </c:extLst>
        </c:ser>
        <c:ser>
          <c:idx val="1"/>
          <c:order val="3"/>
          <c:tx>
            <c:v>軸3</c:v>
          </c:tx>
          <c:spPr>
            <a:ln w="38100">
              <a:solidFill>
                <a:srgbClr val="0070C0"/>
              </a:solidFill>
              <a:tailEnd type="oval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FFA-477E-A66B-E8768940CC9B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1600"/>
                  </a:pPr>
                  <a:endParaRPr lang="ja-JP"/>
                </a:p>
              </c:txPr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FFA-477E-A66B-E8768940CC9B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角度合わせこみ!$W$20:$W$21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0.49999999999999994</c:v>
                </c:pt>
              </c:numCache>
            </c:numRef>
          </c:xVal>
          <c:yVal>
            <c:numRef>
              <c:f>角度合わせこみ!$X$20:$X$21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-0.22414386804201339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4CF-49FC-91AD-21D0AE8F21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5149376"/>
        <c:axId val="1987771984"/>
      </c:scatterChart>
      <c:valAx>
        <c:axId val="1985149376"/>
        <c:scaling>
          <c:orientation val="minMax"/>
          <c:max val="1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 b="0"/>
                  <a:t>X</a:t>
                </a:r>
                <a:endParaRPr lang="ja-JP" altLang="en-US" b="0"/>
              </a:p>
            </c:rich>
          </c:tx>
          <c:overlay val="0"/>
        </c:title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87771984"/>
        <c:crosses val="autoZero"/>
        <c:crossBetween val="midCat"/>
        <c:minorUnit val="0.5"/>
      </c:valAx>
      <c:valAx>
        <c:axId val="1987771984"/>
        <c:scaling>
          <c:orientation val="minMax"/>
          <c:max val="1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 b="0"/>
                  <a:t>Y</a:t>
                </a:r>
                <a:endParaRPr lang="ja-JP" altLang="en-US" b="0"/>
              </a:p>
            </c:rich>
          </c:tx>
          <c:overlay val="0"/>
        </c:title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85149376"/>
        <c:crosses val="autoZero"/>
        <c:crossBetween val="midCat"/>
        <c:majorUnit val="1"/>
        <c:minorUnit val="0.5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330200</xdr:colOff>
      <xdr:row>21</xdr:row>
      <xdr:rowOff>79375</xdr:rowOff>
    </xdr:from>
    <xdr:to>
      <xdr:col>10</xdr:col>
      <xdr:colOff>468305</xdr:colOff>
      <xdr:row>31</xdr:row>
      <xdr:rowOff>27312</xdr:rowOff>
    </xdr:to>
    <xdr:sp macro="" textlink="">
      <xdr:nvSpPr>
        <xdr:cNvPr id="55" name="core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>
        <a:xfrm>
          <a:off x="4445000" y="5080000"/>
          <a:ext cx="2881305" cy="2329187"/>
        </a:xfrm>
        <a:prstGeom prst="rect">
          <a:avLst/>
        </a:prstGeom>
        <a:solidFill>
          <a:srgbClr val="DDDDDD"/>
        </a:solidFill>
        <a:ln>
          <a:noFill/>
        </a:ln>
        <a:scene3d>
          <a:camera prst="orthographicFront">
            <a:rot lat="900000" lon="19799996" rev="0"/>
          </a:camera>
          <a:lightRig rig="threePt" dir="t">
            <a:rot lat="0" lon="0" rev="2400000"/>
          </a:lightRig>
        </a:scene3d>
        <a:sp3d extrusionH="635000" contourW="31750">
          <a:contourClr>
            <a:schemeClr val="tx1">
              <a:lumMod val="50000"/>
              <a:lumOff val="50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marL="0" indent="0" algn="l"/>
          <a:r>
            <a:rPr kumimoji="1" lang="en-US" altLang="ja-JP" sz="3200">
              <a:solidFill>
                <a:schemeClr val="bg1"/>
              </a:solidFill>
              <a:latin typeface="+mn-lt"/>
              <a:ea typeface="+mn-ea"/>
              <a:cs typeface="+mn-cs"/>
            </a:rPr>
            <a:t>core</a:t>
          </a:r>
          <a:endParaRPr kumimoji="1" lang="ja-JP" altLang="en-US" sz="32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143282</xdr:colOff>
      <xdr:row>32</xdr:row>
      <xdr:rowOff>186020</xdr:rowOff>
    </xdr:from>
    <xdr:to>
      <xdr:col>14</xdr:col>
      <xdr:colOff>295682</xdr:colOff>
      <xdr:row>35</xdr:row>
      <xdr:rowOff>106645</xdr:rowOff>
    </xdr:to>
    <xdr:sp macro="" textlink="">
      <xdr:nvSpPr>
        <xdr:cNvPr id="4" name="face1r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372882" y="7806020"/>
          <a:ext cx="1524000" cy="635000"/>
        </a:xfrm>
        <a:prstGeom prst="rightArrow">
          <a:avLst>
            <a:gd name="adj1" fmla="val 60000"/>
            <a:gd name="adj2" fmla="val 100000"/>
          </a:avLst>
        </a:prstGeom>
        <a:solidFill>
          <a:srgbClr val="FF7171"/>
        </a:solidFill>
        <a:ln>
          <a:noFill/>
        </a:ln>
        <a:scene3d>
          <a:camera prst="orthographicFront">
            <a:rot lat="900000" lon="19799996" rev="0"/>
          </a:camera>
          <a:lightRig rig="threePt" dir="t"/>
        </a:scene3d>
        <a:sp3d extrusionH="635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36000" rIns="36000" bIns="36000" rtlCol="0" anchor="ctr" anchorCtr="1">
          <a:sp3d/>
        </a:bodyPr>
        <a:lstStyle/>
        <a:p>
          <a:pPr marL="0" indent="0" algn="l"/>
          <a:r>
            <a:rPr kumimoji="1" lang="en-US" altLang="ja-JP" sz="1100">
              <a:solidFill>
                <a:schemeClr val="lt1">
                  <a:alpha val="60000"/>
                </a:schemeClr>
              </a:solidFill>
              <a:latin typeface="+mn-lt"/>
              <a:ea typeface="+mn-ea"/>
              <a:cs typeface="+mn-cs"/>
            </a:rPr>
            <a:t>face1r</a:t>
          </a:r>
          <a:endParaRPr kumimoji="1" lang="ja-JP" altLang="en-US" sz="1100">
            <a:solidFill>
              <a:schemeClr val="lt1">
                <a:alpha val="6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440918</xdr:colOff>
      <xdr:row>33</xdr:row>
      <xdr:rowOff>210855</xdr:rowOff>
    </xdr:from>
    <xdr:to>
      <xdr:col>11</xdr:col>
      <xdr:colOff>593318</xdr:colOff>
      <xdr:row>36</xdr:row>
      <xdr:rowOff>131480</xdr:rowOff>
    </xdr:to>
    <xdr:sp macro="" textlink="">
      <xdr:nvSpPr>
        <xdr:cNvPr id="45" name="face1l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 flipH="1">
          <a:off x="6613118" y="8068980"/>
          <a:ext cx="1524000" cy="635000"/>
        </a:xfrm>
        <a:prstGeom prst="rightArrow">
          <a:avLst>
            <a:gd name="adj1" fmla="val 60000"/>
            <a:gd name="adj2" fmla="val 100000"/>
          </a:avLst>
        </a:prstGeom>
        <a:solidFill>
          <a:srgbClr val="FF7171"/>
        </a:solidFill>
        <a:ln>
          <a:noFill/>
        </a:ln>
        <a:scene3d>
          <a:camera prst="orthographicFront">
            <a:rot lat="900000" lon="19799996" rev="0"/>
          </a:camera>
          <a:lightRig rig="threePt" dir="t"/>
        </a:scene3d>
        <a:sp3d extrusionH="635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36000" rIns="36000" bIns="36000" rtlCol="0" anchor="ctr" anchorCtr="1">
          <a:sp3d>
            <a:contourClr>
              <a:schemeClr val="tx1"/>
            </a:contourClr>
          </a:sp3d>
        </a:bodyPr>
        <a:lstStyle/>
        <a:p>
          <a:pPr marL="0" indent="0" algn="l"/>
          <a:r>
            <a:rPr kumimoji="1" lang="en-US" altLang="ja-JP" sz="1400">
              <a:solidFill>
                <a:schemeClr val="lt1">
                  <a:alpha val="60000"/>
                </a:schemeClr>
              </a:solidFill>
              <a:latin typeface="+mn-lt"/>
              <a:ea typeface="+mn-ea"/>
              <a:cs typeface="+mn-cs"/>
            </a:rPr>
            <a:t>face1l</a:t>
          </a:r>
          <a:endParaRPr kumimoji="1" lang="ja-JP" altLang="en-US" sz="1400">
            <a:solidFill>
              <a:schemeClr val="lt1">
                <a:alpha val="6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393700</xdr:colOff>
      <xdr:row>35</xdr:row>
      <xdr:rowOff>140005</xdr:rowOff>
    </xdr:from>
    <xdr:to>
      <xdr:col>12</xdr:col>
      <xdr:colOff>342900</xdr:colOff>
      <xdr:row>41</xdr:row>
      <xdr:rowOff>235255</xdr:rowOff>
    </xdr:to>
    <xdr:sp macro="" textlink="">
      <xdr:nvSpPr>
        <xdr:cNvPr id="57" name="face1b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 flipH="1">
          <a:off x="7937500" y="8474380"/>
          <a:ext cx="635000" cy="1524000"/>
        </a:xfrm>
        <a:prstGeom prst="downArrow">
          <a:avLst>
            <a:gd name="adj1" fmla="val 60000"/>
            <a:gd name="adj2" fmla="val 100000"/>
          </a:avLst>
        </a:prstGeom>
        <a:solidFill>
          <a:srgbClr val="3BFF52"/>
        </a:solidFill>
        <a:ln>
          <a:noFill/>
        </a:ln>
        <a:scene3d>
          <a:camera prst="orthographicFront">
            <a:rot lat="900000" lon="19799996" rev="0"/>
          </a:camera>
          <a:lightRig rig="threePt" dir="t"/>
        </a:scene3d>
        <a:sp3d extrusionH="635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36000" rIns="36000" bIns="36000" rtlCol="0" anchor="ctr" anchorCtr="1">
          <a:sp3d/>
        </a:bodyPr>
        <a:lstStyle/>
        <a:p>
          <a:pPr marL="0" indent="0" algn="l"/>
          <a:r>
            <a:rPr kumimoji="1" lang="en-US" altLang="ja-JP" sz="1100">
              <a:solidFill>
                <a:schemeClr val="lt1">
                  <a:alpha val="60000"/>
                </a:schemeClr>
              </a:solidFill>
              <a:latin typeface="+mn-lt"/>
              <a:ea typeface="+mn-ea"/>
              <a:cs typeface="+mn-cs"/>
            </a:rPr>
            <a:t>face1b</a:t>
          </a:r>
          <a:endParaRPr kumimoji="1" lang="ja-JP" altLang="en-US" sz="1100">
            <a:solidFill>
              <a:schemeClr val="lt1">
                <a:alpha val="6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393700</xdr:colOff>
      <xdr:row>27</xdr:row>
      <xdr:rowOff>82245</xdr:rowOff>
    </xdr:from>
    <xdr:to>
      <xdr:col>12</xdr:col>
      <xdr:colOff>342900</xdr:colOff>
      <xdr:row>33</xdr:row>
      <xdr:rowOff>177495</xdr:rowOff>
    </xdr:to>
    <xdr:sp macro="" textlink="">
      <xdr:nvSpPr>
        <xdr:cNvPr id="36" name="face1t">
          <a:extLst>
            <a:ext uri="{FF2B5EF4-FFF2-40B4-BE49-F238E27FC236}">
              <a16:creationId xmlns:a16="http://schemas.microsoft.com/office/drawing/2014/main" id="{742914CD-69B1-93D1-8B61-DE1B8736CF22}"/>
            </a:ext>
          </a:extLst>
        </xdr:cNvPr>
        <xdr:cNvSpPr/>
      </xdr:nvSpPr>
      <xdr:spPr>
        <a:xfrm>
          <a:off x="7937500" y="6511620"/>
          <a:ext cx="635000" cy="1524000"/>
        </a:xfrm>
        <a:prstGeom prst="upArrow">
          <a:avLst>
            <a:gd name="adj1" fmla="val 60000"/>
            <a:gd name="adj2" fmla="val 100000"/>
          </a:avLst>
        </a:prstGeom>
        <a:solidFill>
          <a:srgbClr val="3BFF52"/>
        </a:solidFill>
        <a:ln>
          <a:noFill/>
        </a:ln>
        <a:scene3d>
          <a:camera prst="orthographicFront">
            <a:rot lat="900000" lon="19799996" rev="0"/>
          </a:camera>
          <a:lightRig rig="threePt" dir="t"/>
        </a:scene3d>
        <a:sp3d extrusionH="635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36000" rIns="36000" bIns="36000" rtlCol="0" anchor="ctr" anchorCtr="1">
          <a:sp3d/>
        </a:bodyPr>
        <a:lstStyle/>
        <a:p>
          <a:pPr marL="0" indent="0" algn="l"/>
          <a:r>
            <a:rPr kumimoji="1" lang="en-US" altLang="ja-JP" sz="1100">
              <a:solidFill>
                <a:schemeClr val="lt1">
                  <a:alpha val="60000"/>
                </a:schemeClr>
              </a:solidFill>
              <a:latin typeface="+mn-lt"/>
              <a:ea typeface="+mn-ea"/>
              <a:cs typeface="+mn-cs"/>
            </a:rPr>
            <a:t>face1t</a:t>
          </a:r>
          <a:endParaRPr kumimoji="1" lang="ja-JP" altLang="en-US" sz="1100">
            <a:solidFill>
              <a:schemeClr val="lt1">
                <a:alpha val="6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228600</xdr:colOff>
      <xdr:row>34</xdr:row>
      <xdr:rowOff>68980</xdr:rowOff>
    </xdr:from>
    <xdr:to>
      <xdr:col>5</xdr:col>
      <xdr:colOff>381000</xdr:colOff>
      <xdr:row>36</xdr:row>
      <xdr:rowOff>227730</xdr:rowOff>
    </xdr:to>
    <xdr:sp macro="" textlink="">
      <xdr:nvSpPr>
        <xdr:cNvPr id="50" name="face2r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2286000" y="8165230"/>
          <a:ext cx="1524000" cy="635000"/>
        </a:xfrm>
        <a:prstGeom prst="rightArrow">
          <a:avLst>
            <a:gd name="adj1" fmla="val 60000"/>
            <a:gd name="adj2" fmla="val 100000"/>
          </a:avLst>
        </a:prstGeom>
        <a:solidFill>
          <a:srgbClr val="74B2FC"/>
        </a:solidFill>
        <a:ln>
          <a:noFill/>
        </a:ln>
        <a:scene3d>
          <a:camera prst="orthographicFront">
            <a:rot lat="900000" lon="3600000" rev="0"/>
          </a:camera>
          <a:lightRig rig="threePt" dir="t"/>
        </a:scene3d>
        <a:sp3d extrusionH="635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36000" rIns="36000" bIns="36000" rtlCol="0" anchor="ctr" anchorCtr="1">
          <a:sp3d prstMaterial="matte"/>
        </a:bodyPr>
        <a:lstStyle/>
        <a:p>
          <a:pPr marL="0" indent="0" algn="l"/>
          <a:r>
            <a:rPr kumimoji="1" lang="en-US" altLang="ja-JP" sz="1100">
              <a:solidFill>
                <a:schemeClr val="lt1">
                  <a:alpha val="60000"/>
                </a:schemeClr>
              </a:solidFill>
              <a:latin typeface="+mn-lt"/>
              <a:ea typeface="+mn-ea"/>
              <a:cs typeface="+mn-cs"/>
            </a:rPr>
            <a:t>face2r</a:t>
          </a:r>
          <a:endParaRPr kumimoji="1" lang="ja-JP" altLang="en-US" sz="1100">
            <a:solidFill>
              <a:schemeClr val="lt1">
                <a:alpha val="6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584200</xdr:colOff>
      <xdr:row>32</xdr:row>
      <xdr:rowOff>89770</xdr:rowOff>
    </xdr:from>
    <xdr:to>
      <xdr:col>4</xdr:col>
      <xdr:colOff>50800</xdr:colOff>
      <xdr:row>35</xdr:row>
      <xdr:rowOff>10395</xdr:rowOff>
    </xdr:to>
    <xdr:sp macro="" textlink="">
      <xdr:nvSpPr>
        <xdr:cNvPr id="51" name="face2l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 flipH="1">
          <a:off x="1270000" y="7709770"/>
          <a:ext cx="1524000" cy="635000"/>
        </a:xfrm>
        <a:prstGeom prst="rightArrow">
          <a:avLst>
            <a:gd name="adj1" fmla="val 60000"/>
            <a:gd name="adj2" fmla="val 100000"/>
          </a:avLst>
        </a:prstGeom>
        <a:solidFill>
          <a:srgbClr val="74B2FC"/>
        </a:solidFill>
        <a:ln>
          <a:noFill/>
        </a:ln>
        <a:scene3d>
          <a:camera prst="orthographicFront">
            <a:rot lat="900000" lon="3600000" rev="0"/>
          </a:camera>
          <a:lightRig rig="threePt" dir="t"/>
        </a:scene3d>
        <a:sp3d extrusionH="635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36000" rIns="36000" bIns="36000" rtlCol="0" anchor="ctr" anchorCtr="1">
          <a:sp3d/>
        </a:bodyPr>
        <a:lstStyle/>
        <a:p>
          <a:pPr marL="0" indent="0" algn="l"/>
          <a:r>
            <a:rPr kumimoji="1" lang="en-US" altLang="ja-JP" sz="1100">
              <a:solidFill>
                <a:schemeClr val="lt1">
                  <a:alpha val="60000"/>
                </a:schemeClr>
              </a:solidFill>
              <a:latin typeface="+mn-lt"/>
              <a:ea typeface="+mn-ea"/>
              <a:cs typeface="+mn-cs"/>
            </a:rPr>
            <a:t>face2l</a:t>
          </a:r>
          <a:endParaRPr kumimoji="1" lang="ja-JP" altLang="en-US" sz="1100">
            <a:solidFill>
              <a:schemeClr val="lt1">
                <a:alpha val="6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165100</xdr:colOff>
      <xdr:row>35</xdr:row>
      <xdr:rowOff>140005</xdr:rowOff>
    </xdr:from>
    <xdr:to>
      <xdr:col>4</xdr:col>
      <xdr:colOff>114300</xdr:colOff>
      <xdr:row>41</xdr:row>
      <xdr:rowOff>235255</xdr:rowOff>
    </xdr:to>
    <xdr:sp macro="" textlink="">
      <xdr:nvSpPr>
        <xdr:cNvPr id="60" name="face2b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 flipH="1">
          <a:off x="2222500" y="8474380"/>
          <a:ext cx="635000" cy="1524000"/>
        </a:xfrm>
        <a:prstGeom prst="downArrow">
          <a:avLst>
            <a:gd name="adj1" fmla="val 60000"/>
            <a:gd name="adj2" fmla="val 100000"/>
          </a:avLst>
        </a:prstGeom>
        <a:solidFill>
          <a:srgbClr val="3BFF52"/>
        </a:solidFill>
        <a:ln>
          <a:noFill/>
        </a:ln>
        <a:scene3d>
          <a:camera prst="orthographicFront">
            <a:rot lat="900000" lon="3600000" rev="0"/>
          </a:camera>
          <a:lightRig rig="threePt" dir="t"/>
        </a:scene3d>
        <a:sp3d extrusionH="635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36000" rIns="36000" bIns="36000" rtlCol="0" anchor="ctr" anchorCtr="1">
          <a:sp3d/>
        </a:bodyPr>
        <a:lstStyle/>
        <a:p>
          <a:pPr marL="0" indent="0" algn="l"/>
          <a:r>
            <a:rPr kumimoji="1" lang="en-US" altLang="ja-JP" sz="1100">
              <a:solidFill>
                <a:schemeClr val="lt1">
                  <a:alpha val="60000"/>
                </a:schemeClr>
              </a:solidFill>
              <a:latin typeface="+mn-lt"/>
              <a:ea typeface="+mn-ea"/>
              <a:cs typeface="+mn-cs"/>
            </a:rPr>
            <a:t>face2b</a:t>
          </a:r>
          <a:endParaRPr kumimoji="1" lang="ja-JP" altLang="en-US" sz="1100">
            <a:solidFill>
              <a:schemeClr val="lt1">
                <a:alpha val="6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165100</xdr:colOff>
      <xdr:row>27</xdr:row>
      <xdr:rowOff>82245</xdr:rowOff>
    </xdr:from>
    <xdr:to>
      <xdr:col>4</xdr:col>
      <xdr:colOff>114300</xdr:colOff>
      <xdr:row>33</xdr:row>
      <xdr:rowOff>177495</xdr:rowOff>
    </xdr:to>
    <xdr:sp macro="" textlink="">
      <xdr:nvSpPr>
        <xdr:cNvPr id="61" name="face2t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>
        <a:xfrm>
          <a:off x="2222500" y="6511620"/>
          <a:ext cx="635000" cy="1524000"/>
        </a:xfrm>
        <a:prstGeom prst="upArrow">
          <a:avLst>
            <a:gd name="adj1" fmla="val 60000"/>
            <a:gd name="adj2" fmla="val 100000"/>
          </a:avLst>
        </a:prstGeom>
        <a:solidFill>
          <a:srgbClr val="3BFF52"/>
        </a:solidFill>
        <a:ln>
          <a:noFill/>
        </a:ln>
        <a:scene3d>
          <a:camera prst="orthographicFront">
            <a:rot lat="900000" lon="3600000" rev="0"/>
          </a:camera>
          <a:lightRig rig="threePt" dir="t"/>
        </a:scene3d>
        <a:sp3d extrusionH="635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36000" rIns="36000" bIns="36000" rtlCol="0" anchor="ctr" anchorCtr="1">
          <a:sp3d/>
        </a:bodyPr>
        <a:lstStyle/>
        <a:p>
          <a:pPr marL="0" indent="0" algn="l"/>
          <a:r>
            <a:rPr kumimoji="1" lang="en-US" altLang="ja-JP" sz="1100">
              <a:solidFill>
                <a:schemeClr val="lt1">
                  <a:alpha val="60000"/>
                </a:schemeClr>
              </a:solidFill>
              <a:latin typeface="+mn-lt"/>
              <a:ea typeface="+mn-ea"/>
              <a:cs typeface="+mn-cs"/>
            </a:rPr>
            <a:t>face2t</a:t>
          </a:r>
          <a:endParaRPr kumimoji="1" lang="ja-JP" altLang="en-US" sz="1100">
            <a:solidFill>
              <a:schemeClr val="lt1">
                <a:alpha val="6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397282</xdr:colOff>
      <xdr:row>6</xdr:row>
      <xdr:rowOff>27270</xdr:rowOff>
    </xdr:from>
    <xdr:to>
      <xdr:col>9</xdr:col>
      <xdr:colOff>549682</xdr:colOff>
      <xdr:row>8</xdr:row>
      <xdr:rowOff>186020</xdr:rowOff>
    </xdr:to>
    <xdr:sp macro="" textlink="">
      <xdr:nvSpPr>
        <xdr:cNvPr id="52" name="face3r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5197882" y="1456020"/>
          <a:ext cx="1524000" cy="635000"/>
        </a:xfrm>
        <a:prstGeom prst="rightArrow">
          <a:avLst>
            <a:gd name="adj1" fmla="val 60000"/>
            <a:gd name="adj2" fmla="val 100000"/>
          </a:avLst>
        </a:prstGeom>
        <a:solidFill>
          <a:srgbClr val="FF7171"/>
        </a:solidFill>
        <a:ln>
          <a:noFill/>
        </a:ln>
        <a:scene3d>
          <a:camera prst="orthographicFront">
            <a:rot lat="18193550" lon="17891210" rev="3951229"/>
          </a:camera>
          <a:lightRig rig="threePt" dir="t"/>
        </a:scene3d>
        <a:sp3d extrusionH="635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36000" rIns="36000" bIns="36000" rtlCol="0" anchor="ctr" anchorCtr="1">
          <a:sp3d/>
        </a:bodyPr>
        <a:lstStyle/>
        <a:p>
          <a:pPr marL="0" indent="0" algn="l"/>
          <a:r>
            <a:rPr kumimoji="1" lang="en-US" altLang="ja-JP" sz="1100">
              <a:solidFill>
                <a:schemeClr val="lt1">
                  <a:alpha val="60000"/>
                </a:schemeClr>
              </a:solidFill>
              <a:latin typeface="+mn-lt"/>
              <a:ea typeface="+mn-ea"/>
              <a:cs typeface="+mn-cs"/>
            </a:rPr>
            <a:t>face3r</a:t>
          </a:r>
          <a:endParaRPr kumimoji="1" lang="ja-JP" altLang="en-US" sz="1100">
            <a:solidFill>
              <a:schemeClr val="lt1">
                <a:alpha val="6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9118</xdr:colOff>
      <xdr:row>7</xdr:row>
      <xdr:rowOff>52105</xdr:rowOff>
    </xdr:from>
    <xdr:to>
      <xdr:col>7</xdr:col>
      <xdr:colOff>161518</xdr:colOff>
      <xdr:row>9</xdr:row>
      <xdr:rowOff>210855</xdr:rowOff>
    </xdr:to>
    <xdr:sp macro="" textlink="">
      <xdr:nvSpPr>
        <xdr:cNvPr id="53" name="face3l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 flipH="1">
          <a:off x="3438118" y="1718980"/>
          <a:ext cx="1524000" cy="635000"/>
        </a:xfrm>
        <a:prstGeom prst="rightArrow">
          <a:avLst>
            <a:gd name="adj1" fmla="val 60000"/>
            <a:gd name="adj2" fmla="val 100000"/>
          </a:avLst>
        </a:prstGeom>
        <a:solidFill>
          <a:srgbClr val="FF7171"/>
        </a:solidFill>
        <a:ln>
          <a:noFill/>
        </a:ln>
        <a:scene3d>
          <a:camera prst="orthographicFront">
            <a:rot lat="18193550" lon="17891210" rev="3951229"/>
          </a:camera>
          <a:lightRig rig="threePt" dir="t"/>
        </a:scene3d>
        <a:sp3d extrusionH="635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36000" rIns="36000" bIns="36000" rtlCol="0" anchor="ctr" anchorCtr="1">
          <a:sp3d/>
        </a:bodyPr>
        <a:lstStyle/>
        <a:p>
          <a:pPr marL="0" indent="0" algn="l"/>
          <a:r>
            <a:rPr kumimoji="1" lang="en-US" altLang="ja-JP" sz="1100">
              <a:solidFill>
                <a:schemeClr val="lt1">
                  <a:alpha val="60000"/>
                </a:schemeClr>
              </a:solidFill>
              <a:latin typeface="+mn-lt"/>
              <a:ea typeface="+mn-ea"/>
              <a:cs typeface="+mn-cs"/>
            </a:rPr>
            <a:t>face3l</a:t>
          </a:r>
          <a:endParaRPr kumimoji="1" lang="ja-JP" altLang="en-US" sz="1100">
            <a:solidFill>
              <a:schemeClr val="lt1">
                <a:alpha val="6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469900</xdr:colOff>
      <xdr:row>5</xdr:row>
      <xdr:rowOff>180105</xdr:rowOff>
    </xdr:from>
    <xdr:to>
      <xdr:col>8</xdr:col>
      <xdr:colOff>419100</xdr:colOff>
      <xdr:row>12</xdr:row>
      <xdr:rowOff>37230</xdr:rowOff>
    </xdr:to>
    <xdr:sp macro="" textlink="">
      <xdr:nvSpPr>
        <xdr:cNvPr id="58" name="face3b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>
          <a:off x="5270500" y="1370730"/>
          <a:ext cx="635000" cy="1524000"/>
        </a:xfrm>
        <a:prstGeom prst="downArrow">
          <a:avLst>
            <a:gd name="adj1" fmla="val 60000"/>
            <a:gd name="adj2" fmla="val 100000"/>
          </a:avLst>
        </a:prstGeom>
        <a:solidFill>
          <a:srgbClr val="74B2FC"/>
        </a:solidFill>
        <a:ln>
          <a:noFill/>
        </a:ln>
        <a:scene3d>
          <a:camera prst="orthographicFront">
            <a:rot lat="18193550" lon="17891210" rev="3951229"/>
          </a:camera>
          <a:lightRig rig="threePt" dir="t"/>
        </a:scene3d>
        <a:sp3d extrusionH="635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36000" rIns="36000" bIns="36000" rtlCol="0" anchor="ctr" anchorCtr="1">
          <a:sp3d/>
        </a:bodyPr>
        <a:lstStyle/>
        <a:p>
          <a:pPr marL="0" indent="0" algn="l"/>
          <a:r>
            <a:rPr kumimoji="1" lang="en-US" altLang="ja-JP" sz="1100">
              <a:solidFill>
                <a:schemeClr val="lt1">
                  <a:alpha val="60000"/>
                </a:schemeClr>
              </a:solidFill>
              <a:latin typeface="+mn-lt"/>
              <a:ea typeface="+mn-ea"/>
              <a:cs typeface="+mn-cs"/>
            </a:rPr>
            <a:t>face3b</a:t>
          </a:r>
          <a:endParaRPr kumimoji="1" lang="ja-JP" altLang="en-US" sz="1100">
            <a:solidFill>
              <a:schemeClr val="lt1">
                <a:alpha val="6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139700</xdr:colOff>
      <xdr:row>3</xdr:row>
      <xdr:rowOff>200895</xdr:rowOff>
    </xdr:from>
    <xdr:to>
      <xdr:col>7</xdr:col>
      <xdr:colOff>88900</xdr:colOff>
      <xdr:row>10</xdr:row>
      <xdr:rowOff>58020</xdr:rowOff>
    </xdr:to>
    <xdr:sp macro="" textlink="">
      <xdr:nvSpPr>
        <xdr:cNvPr id="59" name="face3t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 flipH="1">
          <a:off x="4254500" y="915270"/>
          <a:ext cx="635000" cy="1524000"/>
        </a:xfrm>
        <a:prstGeom prst="upArrow">
          <a:avLst>
            <a:gd name="adj1" fmla="val 60000"/>
            <a:gd name="adj2" fmla="val 100000"/>
          </a:avLst>
        </a:prstGeom>
        <a:solidFill>
          <a:srgbClr val="74B2FC"/>
        </a:solidFill>
        <a:ln>
          <a:noFill/>
        </a:ln>
        <a:scene3d>
          <a:camera prst="orthographicFront">
            <a:rot lat="18193550" lon="17891210" rev="3951229"/>
          </a:camera>
          <a:lightRig rig="threePt" dir="t"/>
        </a:scene3d>
        <a:sp3d extrusionH="635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36000" rIns="36000" bIns="36000" rtlCol="0" anchor="ctr" anchorCtr="1">
          <a:sp3d/>
        </a:bodyPr>
        <a:lstStyle/>
        <a:p>
          <a:pPr marL="0" indent="0" algn="l"/>
          <a:r>
            <a:rPr kumimoji="1" lang="en-US" altLang="ja-JP" sz="1100">
              <a:solidFill>
                <a:schemeClr val="lt1">
                  <a:alpha val="60000"/>
                </a:schemeClr>
              </a:solidFill>
              <a:latin typeface="+mn-lt"/>
              <a:ea typeface="+mn-ea"/>
              <a:cs typeface="+mn-cs"/>
            </a:rPr>
            <a:t>face3t</a:t>
          </a:r>
          <a:endParaRPr kumimoji="1" lang="ja-JP" altLang="en-US" sz="1100">
            <a:solidFill>
              <a:schemeClr val="lt1">
                <a:alpha val="6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20</xdr:col>
      <xdr:colOff>669515</xdr:colOff>
      <xdr:row>12</xdr:row>
      <xdr:rowOff>113370</xdr:rowOff>
    </xdr:from>
    <xdr:to>
      <xdr:col>25</xdr:col>
      <xdr:colOff>598714</xdr:colOff>
      <xdr:row>25</xdr:row>
      <xdr:rowOff>231322</xdr:rowOff>
    </xdr:to>
    <xdr:graphicFrame macro="">
      <xdr:nvGraphicFramePr>
        <xdr:cNvPr id="5168" name="graph">
          <a:extLst>
            <a:ext uri="{FF2B5EF4-FFF2-40B4-BE49-F238E27FC236}">
              <a16:creationId xmlns:a16="http://schemas.microsoft.com/office/drawing/2014/main" id="{00000000-0008-0000-0000-0000301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381000</xdr:colOff>
          <xdr:row>2</xdr:row>
          <xdr:rowOff>142875</xdr:rowOff>
        </xdr:from>
        <xdr:to>
          <xdr:col>18</xdr:col>
          <xdr:colOff>200025</xdr:colOff>
          <xdr:row>3</xdr:row>
          <xdr:rowOff>228600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0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角度 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381000</xdr:colOff>
          <xdr:row>27</xdr:row>
          <xdr:rowOff>0</xdr:rowOff>
        </xdr:from>
        <xdr:to>
          <xdr:col>18</xdr:col>
          <xdr:colOff>200025</xdr:colOff>
          <xdr:row>28</xdr:row>
          <xdr:rowOff>85725</xdr:rowOff>
        </xdr:to>
        <xdr:sp macro="" textlink="">
          <xdr:nvSpPr>
            <xdr:cNvPr id="5134" name="Button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0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サイズ 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220398</xdr:colOff>
          <xdr:row>40</xdr:row>
          <xdr:rowOff>192147</xdr:rowOff>
        </xdr:from>
        <xdr:to>
          <xdr:col>14</xdr:col>
          <xdr:colOff>395438</xdr:colOff>
          <xdr:row>46</xdr:row>
          <xdr:rowOff>105169</xdr:rowOff>
        </xdr:to>
        <xdr:grpSp>
          <xdr:nvGrpSpPr>
            <xdr:cNvPr id="10" name="グループ化 9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GrpSpPr/>
          </xdr:nvGrpSpPr>
          <xdr:grpSpPr>
            <a:xfrm>
              <a:off x="8384684" y="9989290"/>
              <a:ext cx="1535754" cy="1382593"/>
              <a:chOff x="10111728" y="8879131"/>
              <a:chExt cx="1832706" cy="1583648"/>
            </a:xfrm>
          </xdr:grpSpPr>
          <xdr:sp macro="" textlink="">
            <xdr:nvSpPr>
              <xdr:cNvPr id="5136" name="Button 16" hidden="1">
                <a:extLst>
                  <a:ext uri="{63B3BB69-23CF-44E3-9099-C40C66FF867C}">
                    <a14:compatExt spid="_x0000_s5136"/>
                  </a:ext>
                  <a:ext uri="{FF2B5EF4-FFF2-40B4-BE49-F238E27FC236}">
                    <a16:creationId xmlns:a16="http://schemas.microsoft.com/office/drawing/2014/main" id="{00000000-0008-0000-0000-000010140000}"/>
                  </a:ext>
                </a:extLst>
              </xdr:cNvPr>
              <xdr:cNvSpPr/>
            </xdr:nvSpPr>
            <xdr:spPr bwMode="auto">
              <a:xfrm>
                <a:off x="11365620" y="9427402"/>
                <a:ext cx="578814" cy="48710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68580" rIns="45720" bIns="68580" anchor="ctr" upright="1"/>
              <a:lstStyle/>
              <a:p>
                <a:pPr algn="ctr" rtl="0">
                  <a:defRPr sz="1000"/>
                </a:pPr>
                <a:r>
                  <a:rPr lang="ja-JP" altLang="en-US" sz="2200" b="0" i="0" u="none" strike="noStrike" baseline="0">
                    <a:solidFill>
                      <a:srgbClr val="000000"/>
                    </a:solidFill>
                    <a:latin typeface="游ゴシック"/>
                    <a:ea typeface="游ゴシック"/>
                  </a:rPr>
                  <a:t>→</a:t>
                </a:r>
              </a:p>
            </xdr:txBody>
          </xdr:sp>
          <xdr:sp macro="" textlink="">
            <xdr:nvSpPr>
              <xdr:cNvPr id="5137" name="Button 17" hidden="1">
                <a:extLst>
                  <a:ext uri="{63B3BB69-23CF-44E3-9099-C40C66FF867C}">
                    <a14:compatExt spid="_x0000_s5137"/>
                  </a:ext>
                  <a:ext uri="{FF2B5EF4-FFF2-40B4-BE49-F238E27FC236}">
                    <a16:creationId xmlns:a16="http://schemas.microsoft.com/office/drawing/2014/main" id="{00000000-0008-0000-0000-000011140000}"/>
                  </a:ext>
                </a:extLst>
              </xdr:cNvPr>
              <xdr:cNvSpPr/>
            </xdr:nvSpPr>
            <xdr:spPr bwMode="auto">
              <a:xfrm>
                <a:off x="10111728" y="9427402"/>
                <a:ext cx="578815" cy="48710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68580" rIns="45720" bIns="68580" anchor="ctr" upright="1"/>
              <a:lstStyle/>
              <a:p>
                <a:pPr algn="ctr" rtl="0">
                  <a:defRPr sz="1000"/>
                </a:pPr>
                <a:r>
                  <a:rPr lang="ja-JP" altLang="en-US" sz="2200" b="0" i="0" u="none" strike="noStrike" baseline="0">
                    <a:solidFill>
                      <a:srgbClr val="000000"/>
                    </a:solidFill>
                    <a:latin typeface="游ゴシック"/>
                    <a:ea typeface="游ゴシック"/>
                  </a:rPr>
                  <a:t>←</a:t>
                </a:r>
              </a:p>
            </xdr:txBody>
          </xdr:sp>
          <xdr:grpSp>
            <xdr:nvGrpSpPr>
              <xdr:cNvPr id="9" name="グループ化 8">
                <a:extLst>
                  <a:ext uri="{FF2B5EF4-FFF2-40B4-BE49-F238E27FC236}">
                    <a16:creationId xmlns:a16="http://schemas.microsoft.com/office/drawing/2014/main" id="{00000000-0008-0000-0000-000009000000}"/>
                  </a:ext>
                </a:extLst>
              </xdr:cNvPr>
              <xdr:cNvGrpSpPr/>
            </xdr:nvGrpSpPr>
            <xdr:grpSpPr>
              <a:xfrm>
                <a:off x="10728820" y="8879131"/>
                <a:ext cx="598524" cy="1583648"/>
                <a:chOff x="10721697" y="8879131"/>
                <a:chExt cx="598524" cy="1583648"/>
              </a:xfrm>
            </xdr:grpSpPr>
            <xdr:sp macro="" textlink="">
              <xdr:nvSpPr>
                <xdr:cNvPr id="5138" name="Button 18" hidden="1">
                  <a:extLst>
                    <a:ext uri="{63B3BB69-23CF-44E3-9099-C40C66FF867C}">
                      <a14:compatExt spid="_x0000_s5138"/>
                    </a:ext>
                    <a:ext uri="{FF2B5EF4-FFF2-40B4-BE49-F238E27FC236}">
                      <a16:creationId xmlns:a16="http://schemas.microsoft.com/office/drawing/2014/main" id="{00000000-0008-0000-0000-000012140000}"/>
                    </a:ext>
                  </a:extLst>
                </xdr:cNvPr>
                <xdr:cNvSpPr/>
              </xdr:nvSpPr>
              <xdr:spPr bwMode="auto">
                <a:xfrm>
                  <a:off x="10741402" y="8879131"/>
                  <a:ext cx="578819" cy="487109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45720" tIns="68580" rIns="45720" bIns="68580" anchor="ctr" upright="1"/>
                <a:lstStyle/>
                <a:p>
                  <a:pPr algn="ctr" rtl="0">
                    <a:defRPr sz="1000"/>
                  </a:pPr>
                  <a:r>
                    <a:rPr lang="ja-JP" altLang="en-US" sz="2200" b="0" i="0" u="none" strike="noStrike" baseline="0">
                      <a:solidFill>
                        <a:srgbClr val="000000"/>
                      </a:solidFill>
                      <a:latin typeface="游ゴシック"/>
                      <a:ea typeface="游ゴシック"/>
                    </a:rPr>
                    <a:t>↑</a:t>
                  </a:r>
                </a:p>
              </xdr:txBody>
            </xdr:sp>
            <xdr:sp macro="" textlink="">
              <xdr:nvSpPr>
                <xdr:cNvPr id="5139" name="Button 19" hidden="1">
                  <a:extLst>
                    <a:ext uri="{63B3BB69-23CF-44E3-9099-C40C66FF867C}">
                      <a14:compatExt spid="_x0000_s5139"/>
                    </a:ext>
                    <a:ext uri="{FF2B5EF4-FFF2-40B4-BE49-F238E27FC236}">
                      <a16:creationId xmlns:a16="http://schemas.microsoft.com/office/drawing/2014/main" id="{00000000-0008-0000-0000-000013140000}"/>
                    </a:ext>
                  </a:extLst>
                </xdr:cNvPr>
                <xdr:cNvSpPr/>
              </xdr:nvSpPr>
              <xdr:spPr bwMode="auto">
                <a:xfrm>
                  <a:off x="10721697" y="9975671"/>
                  <a:ext cx="578820" cy="487108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45720" tIns="68580" rIns="45720" bIns="68580" anchor="ctr" upright="1"/>
                <a:lstStyle/>
                <a:p>
                  <a:pPr algn="ctr" rtl="0">
                    <a:defRPr sz="1000"/>
                  </a:pPr>
                  <a:r>
                    <a:rPr lang="ja-JP" altLang="en-US" sz="2200" b="0" i="0" u="none" strike="noStrike" baseline="0">
                      <a:solidFill>
                        <a:srgbClr val="000000"/>
                      </a:solidFill>
                      <a:latin typeface="游ゴシック"/>
                      <a:ea typeface="游ゴシック"/>
                    </a:rPr>
                    <a:t>↓</a:t>
                  </a:r>
                </a:p>
              </xdr:txBody>
            </xdr:sp>
            <xdr:sp macro="" textlink="">
              <xdr:nvSpPr>
                <xdr:cNvPr id="5140" name="Button 20" hidden="1">
                  <a:extLst>
                    <a:ext uri="{63B3BB69-23CF-44E3-9099-C40C66FF867C}">
                      <a14:compatExt spid="_x0000_s5140"/>
                    </a:ext>
                    <a:ext uri="{FF2B5EF4-FFF2-40B4-BE49-F238E27FC236}">
                      <a16:creationId xmlns:a16="http://schemas.microsoft.com/office/drawing/2014/main" id="{00000000-0008-0000-0000-000014140000}"/>
                    </a:ext>
                  </a:extLst>
                </xdr:cNvPr>
                <xdr:cNvSpPr/>
              </xdr:nvSpPr>
              <xdr:spPr bwMode="auto">
                <a:xfrm>
                  <a:off x="10735302" y="9427403"/>
                  <a:ext cx="578816" cy="487109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18288" tIns="0" rIns="0" bIns="0" anchor="ctr" upright="1"/>
                <a:lstStyle/>
                <a:p>
                  <a:pPr algn="ctr" rtl="0">
                    <a:defRPr sz="1000"/>
                  </a:pPr>
                  <a:endParaRPr lang="ja-JP" altLang="en-US"/>
                </a:p>
              </xdr:txBody>
            </xdr:sp>
          </xdr:grp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274518</xdr:colOff>
          <xdr:row>40</xdr:row>
          <xdr:rowOff>192147</xdr:rowOff>
        </xdr:from>
        <xdr:to>
          <xdr:col>3</xdr:col>
          <xdr:colOff>449558</xdr:colOff>
          <xdr:row>46</xdr:row>
          <xdr:rowOff>105169</xdr:rowOff>
        </xdr:to>
        <xdr:grpSp>
          <xdr:nvGrpSpPr>
            <xdr:cNvPr id="11" name="グループ化 10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GrpSpPr/>
          </xdr:nvGrpSpPr>
          <xdr:grpSpPr>
            <a:xfrm>
              <a:off x="954875" y="9989290"/>
              <a:ext cx="1535754" cy="1382593"/>
              <a:chOff x="10111728" y="8879131"/>
              <a:chExt cx="1832706" cy="1583648"/>
            </a:xfrm>
          </xdr:grpSpPr>
          <xdr:sp macro="" textlink="">
            <xdr:nvSpPr>
              <xdr:cNvPr id="5141" name="Button 21" hidden="1">
                <a:extLst>
                  <a:ext uri="{63B3BB69-23CF-44E3-9099-C40C66FF867C}">
                    <a14:compatExt spid="_x0000_s5141"/>
                  </a:ext>
                  <a:ext uri="{FF2B5EF4-FFF2-40B4-BE49-F238E27FC236}">
                    <a16:creationId xmlns:a16="http://schemas.microsoft.com/office/drawing/2014/main" id="{00000000-0008-0000-0000-000015140000}"/>
                  </a:ext>
                </a:extLst>
              </xdr:cNvPr>
              <xdr:cNvSpPr/>
            </xdr:nvSpPr>
            <xdr:spPr bwMode="auto">
              <a:xfrm>
                <a:off x="11365620" y="9427402"/>
                <a:ext cx="578814" cy="48710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68580" rIns="45720" bIns="68580" anchor="ctr" upright="1"/>
              <a:lstStyle/>
              <a:p>
                <a:pPr algn="ctr" rtl="0">
                  <a:defRPr sz="1000"/>
                </a:pPr>
                <a:r>
                  <a:rPr lang="ja-JP" altLang="en-US" sz="2200" b="0" i="0" u="none" strike="noStrike" baseline="0">
                    <a:solidFill>
                      <a:srgbClr val="000000"/>
                    </a:solidFill>
                    <a:latin typeface="游ゴシック"/>
                    <a:ea typeface="游ゴシック"/>
                  </a:rPr>
                  <a:t>→</a:t>
                </a:r>
              </a:p>
            </xdr:txBody>
          </xdr:sp>
          <xdr:sp macro="" textlink="">
            <xdr:nvSpPr>
              <xdr:cNvPr id="5142" name="Button 22" hidden="1">
                <a:extLst>
                  <a:ext uri="{63B3BB69-23CF-44E3-9099-C40C66FF867C}">
                    <a14:compatExt spid="_x0000_s5142"/>
                  </a:ext>
                  <a:ext uri="{FF2B5EF4-FFF2-40B4-BE49-F238E27FC236}">
                    <a16:creationId xmlns:a16="http://schemas.microsoft.com/office/drawing/2014/main" id="{00000000-0008-0000-0000-000016140000}"/>
                  </a:ext>
                </a:extLst>
              </xdr:cNvPr>
              <xdr:cNvSpPr/>
            </xdr:nvSpPr>
            <xdr:spPr bwMode="auto">
              <a:xfrm>
                <a:off x="10111728" y="9427402"/>
                <a:ext cx="578815" cy="48710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68580" rIns="45720" bIns="68580" anchor="ctr" upright="1"/>
              <a:lstStyle/>
              <a:p>
                <a:pPr algn="ctr" rtl="0">
                  <a:defRPr sz="1000"/>
                </a:pPr>
                <a:r>
                  <a:rPr lang="ja-JP" altLang="en-US" sz="2200" b="0" i="0" u="none" strike="noStrike" baseline="0">
                    <a:solidFill>
                      <a:srgbClr val="000000"/>
                    </a:solidFill>
                    <a:latin typeface="游ゴシック"/>
                    <a:ea typeface="游ゴシック"/>
                  </a:rPr>
                  <a:t>←</a:t>
                </a:r>
              </a:p>
            </xdr:txBody>
          </xdr:sp>
          <xdr:grpSp>
            <xdr:nvGrpSpPr>
              <xdr:cNvPr id="12" name="グループ化 11">
                <a:extLst>
                  <a:ext uri="{FF2B5EF4-FFF2-40B4-BE49-F238E27FC236}">
                    <a16:creationId xmlns:a16="http://schemas.microsoft.com/office/drawing/2014/main" id="{00000000-0008-0000-0000-00000C000000}"/>
                  </a:ext>
                </a:extLst>
              </xdr:cNvPr>
              <xdr:cNvGrpSpPr/>
            </xdr:nvGrpSpPr>
            <xdr:grpSpPr>
              <a:xfrm>
                <a:off x="10728820" y="8879131"/>
                <a:ext cx="598524" cy="1583648"/>
                <a:chOff x="10721697" y="8879131"/>
                <a:chExt cx="598524" cy="1583648"/>
              </a:xfrm>
            </xdr:grpSpPr>
            <xdr:sp macro="" textlink="">
              <xdr:nvSpPr>
                <xdr:cNvPr id="5143" name="Button 23" hidden="1">
                  <a:extLst>
                    <a:ext uri="{63B3BB69-23CF-44E3-9099-C40C66FF867C}">
                      <a14:compatExt spid="_x0000_s5143"/>
                    </a:ext>
                    <a:ext uri="{FF2B5EF4-FFF2-40B4-BE49-F238E27FC236}">
                      <a16:creationId xmlns:a16="http://schemas.microsoft.com/office/drawing/2014/main" id="{00000000-0008-0000-0000-000017140000}"/>
                    </a:ext>
                  </a:extLst>
                </xdr:cNvPr>
                <xdr:cNvSpPr/>
              </xdr:nvSpPr>
              <xdr:spPr bwMode="auto">
                <a:xfrm>
                  <a:off x="10741402" y="8879131"/>
                  <a:ext cx="578819" cy="487109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45720" tIns="68580" rIns="45720" bIns="68580" anchor="ctr" upright="1"/>
                <a:lstStyle/>
                <a:p>
                  <a:pPr algn="ctr" rtl="0">
                    <a:defRPr sz="1000"/>
                  </a:pPr>
                  <a:r>
                    <a:rPr lang="ja-JP" altLang="en-US" sz="2200" b="0" i="0" u="none" strike="noStrike" baseline="0">
                      <a:solidFill>
                        <a:srgbClr val="000000"/>
                      </a:solidFill>
                      <a:latin typeface="游ゴシック"/>
                      <a:ea typeface="游ゴシック"/>
                    </a:rPr>
                    <a:t>↑</a:t>
                  </a:r>
                </a:p>
              </xdr:txBody>
            </xdr:sp>
            <xdr:sp macro="" textlink="">
              <xdr:nvSpPr>
                <xdr:cNvPr id="5144" name="Button 24" hidden="1">
                  <a:extLst>
                    <a:ext uri="{63B3BB69-23CF-44E3-9099-C40C66FF867C}">
                      <a14:compatExt spid="_x0000_s5144"/>
                    </a:ext>
                    <a:ext uri="{FF2B5EF4-FFF2-40B4-BE49-F238E27FC236}">
                      <a16:creationId xmlns:a16="http://schemas.microsoft.com/office/drawing/2014/main" id="{00000000-0008-0000-0000-000018140000}"/>
                    </a:ext>
                  </a:extLst>
                </xdr:cNvPr>
                <xdr:cNvSpPr/>
              </xdr:nvSpPr>
              <xdr:spPr bwMode="auto">
                <a:xfrm>
                  <a:off x="10721697" y="9975671"/>
                  <a:ext cx="578820" cy="487108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45720" tIns="68580" rIns="45720" bIns="68580" anchor="ctr" upright="1"/>
                <a:lstStyle/>
                <a:p>
                  <a:pPr algn="ctr" rtl="0">
                    <a:defRPr sz="1000"/>
                  </a:pPr>
                  <a:r>
                    <a:rPr lang="ja-JP" altLang="en-US" sz="2200" b="0" i="0" u="none" strike="noStrike" baseline="0">
                      <a:solidFill>
                        <a:srgbClr val="000000"/>
                      </a:solidFill>
                      <a:latin typeface="游ゴシック"/>
                      <a:ea typeface="游ゴシック"/>
                    </a:rPr>
                    <a:t>↓</a:t>
                  </a:r>
                </a:p>
              </xdr:txBody>
            </xdr:sp>
            <xdr:sp macro="" textlink="">
              <xdr:nvSpPr>
                <xdr:cNvPr id="5145" name="Button 25" hidden="1">
                  <a:extLst>
                    <a:ext uri="{63B3BB69-23CF-44E3-9099-C40C66FF867C}">
                      <a14:compatExt spid="_x0000_s5145"/>
                    </a:ext>
                    <a:ext uri="{FF2B5EF4-FFF2-40B4-BE49-F238E27FC236}">
                      <a16:creationId xmlns:a16="http://schemas.microsoft.com/office/drawing/2014/main" id="{00000000-0008-0000-0000-000019140000}"/>
                    </a:ext>
                  </a:extLst>
                </xdr:cNvPr>
                <xdr:cNvSpPr/>
              </xdr:nvSpPr>
              <xdr:spPr bwMode="auto">
                <a:xfrm>
                  <a:off x="10735302" y="9427403"/>
                  <a:ext cx="578816" cy="487109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18288" tIns="0" rIns="0" bIns="0" anchor="ctr" upright="1"/>
                <a:lstStyle/>
                <a:p>
                  <a:pPr algn="ctr" rtl="0">
                    <a:defRPr sz="1000"/>
                  </a:pPr>
                  <a:endParaRPr lang="ja-JP" altLang="en-US"/>
                </a:p>
              </xdr:txBody>
            </xdr:sp>
          </xdr:grp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226896</xdr:colOff>
          <xdr:row>1</xdr:row>
          <xdr:rowOff>215959</xdr:rowOff>
        </xdr:from>
        <xdr:to>
          <xdr:col>12</xdr:col>
          <xdr:colOff>401953</xdr:colOff>
          <xdr:row>7</xdr:row>
          <xdr:rowOff>128981</xdr:rowOff>
        </xdr:to>
        <xdr:grpSp>
          <xdr:nvGrpSpPr>
            <xdr:cNvPr id="13" name="グループ化 12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GrpSpPr/>
          </xdr:nvGrpSpPr>
          <xdr:grpSpPr>
            <a:xfrm>
              <a:off x="7030467" y="460888"/>
              <a:ext cx="1535772" cy="1382593"/>
              <a:chOff x="10111714" y="8879131"/>
              <a:chExt cx="1832723" cy="1583648"/>
            </a:xfrm>
          </xdr:grpSpPr>
          <xdr:sp macro="" textlink="">
            <xdr:nvSpPr>
              <xdr:cNvPr id="5146" name="Button 26" hidden="1">
                <a:extLst>
                  <a:ext uri="{63B3BB69-23CF-44E3-9099-C40C66FF867C}">
                    <a14:compatExt spid="_x0000_s5146"/>
                  </a:ext>
                  <a:ext uri="{FF2B5EF4-FFF2-40B4-BE49-F238E27FC236}">
                    <a16:creationId xmlns:a16="http://schemas.microsoft.com/office/drawing/2014/main" id="{00000000-0008-0000-0000-00001A140000}"/>
                  </a:ext>
                </a:extLst>
              </xdr:cNvPr>
              <xdr:cNvSpPr/>
            </xdr:nvSpPr>
            <xdr:spPr bwMode="auto">
              <a:xfrm>
                <a:off x="11365622" y="9427402"/>
                <a:ext cx="578815" cy="48710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68580" rIns="45720" bIns="68580" anchor="ctr" upright="1"/>
              <a:lstStyle/>
              <a:p>
                <a:pPr algn="ctr" rtl="0">
                  <a:defRPr sz="1000"/>
                </a:pPr>
                <a:r>
                  <a:rPr lang="ja-JP" altLang="en-US" sz="2200" b="0" i="0" u="none" strike="noStrike" baseline="0">
                    <a:solidFill>
                      <a:srgbClr val="000000"/>
                    </a:solidFill>
                    <a:latin typeface="游ゴシック"/>
                    <a:ea typeface="游ゴシック"/>
                  </a:rPr>
                  <a:t>→</a:t>
                </a:r>
              </a:p>
            </xdr:txBody>
          </xdr:sp>
          <xdr:sp macro="" textlink="">
            <xdr:nvSpPr>
              <xdr:cNvPr id="5147" name="Button 27" hidden="1">
                <a:extLst>
                  <a:ext uri="{63B3BB69-23CF-44E3-9099-C40C66FF867C}">
                    <a14:compatExt spid="_x0000_s5147"/>
                  </a:ext>
                  <a:ext uri="{FF2B5EF4-FFF2-40B4-BE49-F238E27FC236}">
                    <a16:creationId xmlns:a16="http://schemas.microsoft.com/office/drawing/2014/main" id="{00000000-0008-0000-0000-00001B140000}"/>
                  </a:ext>
                </a:extLst>
              </xdr:cNvPr>
              <xdr:cNvSpPr/>
            </xdr:nvSpPr>
            <xdr:spPr bwMode="auto">
              <a:xfrm>
                <a:off x="10111714" y="9427402"/>
                <a:ext cx="578815" cy="48710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68580" rIns="45720" bIns="68580" anchor="ctr" upright="1"/>
              <a:lstStyle/>
              <a:p>
                <a:pPr algn="ctr" rtl="0">
                  <a:defRPr sz="1000"/>
                </a:pPr>
                <a:r>
                  <a:rPr lang="ja-JP" altLang="en-US" sz="2200" b="0" i="0" u="none" strike="noStrike" baseline="0">
                    <a:solidFill>
                      <a:srgbClr val="000000"/>
                    </a:solidFill>
                    <a:latin typeface="游ゴシック"/>
                    <a:ea typeface="游ゴシック"/>
                  </a:rPr>
                  <a:t>←</a:t>
                </a:r>
              </a:p>
            </xdr:txBody>
          </xdr:sp>
          <xdr:grpSp>
            <xdr:nvGrpSpPr>
              <xdr:cNvPr id="14" name="グループ化 13">
                <a:extLst>
                  <a:ext uri="{FF2B5EF4-FFF2-40B4-BE49-F238E27FC236}">
                    <a16:creationId xmlns:a16="http://schemas.microsoft.com/office/drawing/2014/main" id="{00000000-0008-0000-0000-00000E000000}"/>
                  </a:ext>
                </a:extLst>
              </xdr:cNvPr>
              <xdr:cNvGrpSpPr/>
            </xdr:nvGrpSpPr>
            <xdr:grpSpPr>
              <a:xfrm>
                <a:off x="10728820" y="8879131"/>
                <a:ext cx="598523" cy="1583648"/>
                <a:chOff x="10721697" y="8879131"/>
                <a:chExt cx="598523" cy="1583648"/>
              </a:xfrm>
            </xdr:grpSpPr>
            <xdr:sp macro="" textlink="">
              <xdr:nvSpPr>
                <xdr:cNvPr id="5148" name="Button 28" hidden="1">
                  <a:extLst>
                    <a:ext uri="{63B3BB69-23CF-44E3-9099-C40C66FF867C}">
                      <a14:compatExt spid="_x0000_s5148"/>
                    </a:ext>
                    <a:ext uri="{FF2B5EF4-FFF2-40B4-BE49-F238E27FC236}">
                      <a16:creationId xmlns:a16="http://schemas.microsoft.com/office/drawing/2014/main" id="{00000000-0008-0000-0000-00001C140000}"/>
                    </a:ext>
                  </a:extLst>
                </xdr:cNvPr>
                <xdr:cNvSpPr/>
              </xdr:nvSpPr>
              <xdr:spPr bwMode="auto">
                <a:xfrm>
                  <a:off x="10741402" y="8879131"/>
                  <a:ext cx="578818" cy="487109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45720" tIns="68580" rIns="45720" bIns="68580" anchor="ctr" upright="1"/>
                <a:lstStyle/>
                <a:p>
                  <a:pPr algn="ctr" rtl="0">
                    <a:defRPr sz="1000"/>
                  </a:pPr>
                  <a:r>
                    <a:rPr lang="ja-JP" altLang="en-US" sz="2200" b="0" i="0" u="none" strike="noStrike" baseline="0">
                      <a:solidFill>
                        <a:srgbClr val="000000"/>
                      </a:solidFill>
                      <a:latin typeface="游ゴシック"/>
                      <a:ea typeface="游ゴシック"/>
                    </a:rPr>
                    <a:t>↑</a:t>
                  </a:r>
                </a:p>
              </xdr:txBody>
            </xdr:sp>
            <xdr:sp macro="" textlink="">
              <xdr:nvSpPr>
                <xdr:cNvPr id="5149" name="Button 29" hidden="1">
                  <a:extLst>
                    <a:ext uri="{63B3BB69-23CF-44E3-9099-C40C66FF867C}">
                      <a14:compatExt spid="_x0000_s5149"/>
                    </a:ext>
                    <a:ext uri="{FF2B5EF4-FFF2-40B4-BE49-F238E27FC236}">
                      <a16:creationId xmlns:a16="http://schemas.microsoft.com/office/drawing/2014/main" id="{00000000-0008-0000-0000-00001D140000}"/>
                    </a:ext>
                  </a:extLst>
                </xdr:cNvPr>
                <xdr:cNvSpPr/>
              </xdr:nvSpPr>
              <xdr:spPr bwMode="auto">
                <a:xfrm>
                  <a:off x="10721697" y="9975671"/>
                  <a:ext cx="578820" cy="487108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45720" tIns="68580" rIns="45720" bIns="68580" anchor="ctr" upright="1"/>
                <a:lstStyle/>
                <a:p>
                  <a:pPr algn="ctr" rtl="0">
                    <a:defRPr sz="1000"/>
                  </a:pPr>
                  <a:r>
                    <a:rPr lang="ja-JP" altLang="en-US" sz="2200" b="0" i="0" u="none" strike="noStrike" baseline="0">
                      <a:solidFill>
                        <a:srgbClr val="000000"/>
                      </a:solidFill>
                      <a:latin typeface="游ゴシック"/>
                      <a:ea typeface="游ゴシック"/>
                    </a:rPr>
                    <a:t>↓</a:t>
                  </a:r>
                </a:p>
              </xdr:txBody>
            </xdr:sp>
            <xdr:sp macro="" textlink="">
              <xdr:nvSpPr>
                <xdr:cNvPr id="5150" name="Button 30" hidden="1">
                  <a:extLst>
                    <a:ext uri="{63B3BB69-23CF-44E3-9099-C40C66FF867C}">
                      <a14:compatExt spid="_x0000_s5150"/>
                    </a:ext>
                    <a:ext uri="{FF2B5EF4-FFF2-40B4-BE49-F238E27FC236}">
                      <a16:creationId xmlns:a16="http://schemas.microsoft.com/office/drawing/2014/main" id="{00000000-0008-0000-0000-00001E140000}"/>
                    </a:ext>
                  </a:extLst>
                </xdr:cNvPr>
                <xdr:cNvSpPr/>
              </xdr:nvSpPr>
              <xdr:spPr bwMode="auto">
                <a:xfrm>
                  <a:off x="10735302" y="9427403"/>
                  <a:ext cx="578816" cy="487109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18288" tIns="0" rIns="0" bIns="0" anchor="ctr" upright="1"/>
                <a:lstStyle/>
                <a:p>
                  <a:pPr algn="ctr" rtl="0">
                    <a:defRPr sz="1000"/>
                  </a:pPr>
                  <a:endParaRPr lang="ja-JP" altLang="en-US"/>
                </a:p>
              </xdr:txBody>
            </xdr:sp>
          </xdr:grpSp>
        </xdr:grpSp>
        <xdr:clientData fPrintsWithSheet="0"/>
      </xdr:twoCellAnchor>
    </mc:Choice>
    <mc:Fallback/>
  </mc:AlternateContent>
  <xdr:twoCellAnchor>
    <xdr:from>
      <xdr:col>14</xdr:col>
      <xdr:colOff>678304</xdr:colOff>
      <xdr:row>4</xdr:row>
      <xdr:rowOff>154132</xdr:rowOff>
    </xdr:from>
    <xdr:to>
      <xdr:col>19</xdr:col>
      <xdr:colOff>595015</xdr:colOff>
      <xdr:row>19</xdr:row>
      <xdr:rowOff>155229</xdr:rowOff>
    </xdr:to>
    <xdr:grpSp>
      <xdr:nvGrpSpPr>
        <xdr:cNvPr id="35" name="グループ化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GrpSpPr/>
      </xdr:nvGrpSpPr>
      <xdr:grpSpPr>
        <a:xfrm>
          <a:off x="10203304" y="1133846"/>
          <a:ext cx="3318497" cy="3675026"/>
          <a:chOff x="9995486" y="1054677"/>
          <a:chExt cx="3380347" cy="3637915"/>
        </a:xfrm>
      </xdr:grpSpPr>
      <xdr:grpSp>
        <xdr:nvGrpSpPr>
          <xdr:cNvPr id="34" name="グループ化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GrpSpPr/>
        </xdr:nvGrpSpPr>
        <xdr:grpSpPr>
          <a:xfrm>
            <a:off x="9995486" y="1054677"/>
            <a:ext cx="3380347" cy="1019000"/>
            <a:chOff x="9995486" y="1054677"/>
            <a:chExt cx="3380347" cy="1019000"/>
          </a:xfrm>
        </xdr:grpSpPr>
        <xdr:pic macro="[0]!rotate_horizontal_minus">
          <xdr:nvPicPr>
            <xdr:cNvPr id="62" name="btn">
              <a:extLst>
                <a:ext uri="{FF2B5EF4-FFF2-40B4-BE49-F238E27FC236}">
                  <a16:creationId xmlns:a16="http://schemas.microsoft.com/office/drawing/2014/main" id="{00000000-0008-0000-0000-00003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0568659" y="1054677"/>
              <a:ext cx="1001886" cy="1019000"/>
            </a:xfrm>
            <a:prstGeom prst="rect">
              <a:avLst/>
            </a:prstGeom>
            <a:scene3d>
              <a:camera prst="orthographicFront"/>
              <a:lightRig rig="threePt" dir="t"/>
            </a:scene3d>
            <a:sp3d extrusionH="4203700"/>
          </xdr:spPr>
        </xdr:pic>
        <xdr:pic macro="[0]!rotate_horizontal">
          <xdr:nvPicPr>
            <xdr:cNvPr id="63" name="btn">
              <a:extLst>
                <a:ext uri="{FF2B5EF4-FFF2-40B4-BE49-F238E27FC236}">
                  <a16:creationId xmlns:a16="http://schemas.microsoft.com/office/drawing/2014/main" id="{00000000-0008-0000-0000-00003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1783718" y="1054677"/>
              <a:ext cx="1006572" cy="1019000"/>
            </a:xfrm>
            <a:prstGeom prst="rect">
              <a:avLst/>
            </a:prstGeom>
            <a:scene3d>
              <a:camera prst="orthographicFront"/>
              <a:lightRig rig="threePt" dir="t"/>
            </a:scene3d>
            <a:sp3d extrusionH="4203700"/>
          </xdr:spPr>
        </xdr:pic>
        <xdr:pic macro="[0]!rotate_horizontal_minus_bit">
          <xdr:nvPicPr>
            <xdr:cNvPr id="26" name="btn">
              <a:extLst>
                <a:ext uri="{FF2B5EF4-FFF2-40B4-BE49-F238E27FC236}">
                  <a16:creationId xmlns:a16="http://schemas.microsoft.com/office/drawing/2014/main" id="{00000000-0008-0000-0000-00001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995486" y="1379630"/>
              <a:ext cx="360000" cy="369094"/>
            </a:xfrm>
            <a:prstGeom prst="rect">
              <a:avLst/>
            </a:prstGeom>
            <a:scene3d>
              <a:camera prst="orthographicFront"/>
              <a:lightRig rig="threePt" dir="t"/>
            </a:scene3d>
            <a:sp3d extrusionH="4203700"/>
          </xdr:spPr>
        </xdr:pic>
        <xdr:pic macro="[0]!rotate_horizontal_bit">
          <xdr:nvPicPr>
            <xdr:cNvPr id="27" name="btn">
              <a:extLst>
                <a:ext uri="{FF2B5EF4-FFF2-40B4-BE49-F238E27FC236}">
                  <a16:creationId xmlns:a16="http://schemas.microsoft.com/office/drawing/2014/main" id="{00000000-0008-0000-0000-00001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3003463" y="1377364"/>
              <a:ext cx="372370" cy="373627"/>
            </a:xfrm>
            <a:prstGeom prst="rect">
              <a:avLst/>
            </a:prstGeom>
            <a:scene3d>
              <a:camera prst="orthographicFront"/>
              <a:lightRig rig="threePt" dir="t"/>
            </a:scene3d>
            <a:sp3d extrusionH="4203700"/>
          </xdr:spPr>
        </xdr:pic>
      </xdr:grpSp>
      <xdr:grpSp>
        <xdr:nvGrpSpPr>
          <xdr:cNvPr id="33" name="グループ化 32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GrpSpPr/>
        </xdr:nvGrpSpPr>
        <xdr:grpSpPr>
          <a:xfrm>
            <a:off x="9995486" y="2357207"/>
            <a:ext cx="3367977" cy="1032855"/>
            <a:chOff x="9995486" y="2661193"/>
            <a:chExt cx="3367977" cy="1032855"/>
          </a:xfrm>
        </xdr:grpSpPr>
        <xdr:pic macro="[0]!rotate_vertical_minus">
          <xdr:nvPicPr>
            <xdr:cNvPr id="5120" name="btn">
              <a:extLst>
                <a:ext uri="{FF2B5EF4-FFF2-40B4-BE49-F238E27FC236}">
                  <a16:creationId xmlns:a16="http://schemas.microsoft.com/office/drawing/2014/main" id="{00000000-0008-0000-0000-0000001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0568659" y="2661193"/>
              <a:ext cx="1001886" cy="1032855"/>
            </a:xfrm>
            <a:prstGeom prst="rect">
              <a:avLst/>
            </a:prstGeom>
            <a:scene3d>
              <a:camera prst="orthographicFront"/>
              <a:lightRig rig="threePt" dir="t"/>
            </a:scene3d>
            <a:sp3d extrusionH="4203700"/>
          </xdr:spPr>
        </xdr:pic>
        <xdr:pic macro="[0]!rotate_vertical">
          <xdr:nvPicPr>
            <xdr:cNvPr id="5126" name="btn">
              <a:extLs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11783718" y="2661193"/>
              <a:ext cx="1006572" cy="1032855"/>
            </a:xfrm>
            <a:prstGeom prst="rect">
              <a:avLst/>
            </a:prstGeom>
            <a:scene3d>
              <a:camera prst="orthographicFront"/>
              <a:lightRig rig="threePt" dir="t"/>
            </a:scene3d>
            <a:sp3d extrusionH="4203700"/>
          </xdr:spPr>
        </xdr:pic>
        <xdr:pic macro="[0]!rotate_vertical_minus_bit">
          <xdr:nvPicPr>
            <xdr:cNvPr id="28" name="btn">
              <a:extLst>
                <a:ext uri="{FF2B5EF4-FFF2-40B4-BE49-F238E27FC236}">
                  <a16:creationId xmlns:a16="http://schemas.microsoft.com/office/drawing/2014/main" id="{00000000-0008-0000-0000-00001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9995486" y="2989961"/>
              <a:ext cx="360000" cy="375319"/>
            </a:xfrm>
            <a:prstGeom prst="rect">
              <a:avLst/>
            </a:prstGeom>
            <a:scene3d>
              <a:camera prst="orthographicFront"/>
              <a:lightRig rig="threePt" dir="t"/>
            </a:scene3d>
            <a:sp3d extrusionH="4203700"/>
          </xdr:spPr>
        </xdr:pic>
        <xdr:pic macro="[0]!rotate_vertical_bit">
          <xdr:nvPicPr>
            <xdr:cNvPr id="29" name="btn">
              <a:extLst>
                <a:ext uri="{FF2B5EF4-FFF2-40B4-BE49-F238E27FC236}">
                  <a16:creationId xmlns:a16="http://schemas.microsoft.com/office/drawing/2014/main" id="{00000000-0008-0000-0000-00001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13003463" y="2990857"/>
              <a:ext cx="360000" cy="373527"/>
            </a:xfrm>
            <a:prstGeom prst="rect">
              <a:avLst/>
            </a:prstGeom>
            <a:scene3d>
              <a:camera prst="orthographicFront"/>
              <a:lightRig rig="threePt" dir="t"/>
            </a:scene3d>
            <a:sp3d extrusionH="4203700"/>
          </xdr:spPr>
        </xdr:pic>
      </xdr:grpSp>
      <xdr:grpSp>
        <xdr:nvGrpSpPr>
          <xdr:cNvPr id="32" name="グループ化 3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GrpSpPr/>
        </xdr:nvGrpSpPr>
        <xdr:grpSpPr>
          <a:xfrm>
            <a:off x="9995486" y="3673592"/>
            <a:ext cx="3367977" cy="1019000"/>
            <a:chOff x="9995486" y="4227773"/>
            <a:chExt cx="3367977" cy="1019000"/>
          </a:xfrm>
        </xdr:grpSpPr>
        <xdr:pic macro="[0]!rotate_z">
          <xdr:nvPicPr>
            <xdr:cNvPr id="5127" name="btn">
              <a:extLs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10568659" y="4227773"/>
              <a:ext cx="999645" cy="1019000"/>
            </a:xfrm>
            <a:prstGeom prst="rect">
              <a:avLst/>
            </a:prstGeom>
            <a:scene3d>
              <a:camera prst="orthographicFront"/>
              <a:lightRig rig="threePt" dir="t"/>
            </a:scene3d>
            <a:sp3d extrusionH="4203700"/>
          </xdr:spPr>
        </xdr:pic>
        <xdr:pic macro="[0]!rotate_z_minus">
          <xdr:nvPicPr>
            <xdr:cNvPr id="5129" name="btn">
              <a:extLst>
                <a:ext uri="{FF2B5EF4-FFF2-40B4-BE49-F238E27FC236}">
                  <a16:creationId xmlns:a16="http://schemas.microsoft.com/office/drawing/2014/main" id="{00000000-0008-0000-0000-0000091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1783718" y="4231135"/>
              <a:ext cx="1006572" cy="1012277"/>
            </a:xfrm>
            <a:prstGeom prst="rect">
              <a:avLst/>
            </a:prstGeom>
            <a:scene3d>
              <a:camera prst="orthographicFront"/>
              <a:lightRig rig="threePt" dir="t"/>
            </a:scene3d>
            <a:sp3d extrusionH="4203700"/>
          </xdr:spPr>
        </xdr:pic>
        <xdr:pic macro="[0]!rotate_z_minus_bit">
          <xdr:nvPicPr>
            <xdr:cNvPr id="30" name="btn">
              <a:extLst>
                <a:ext uri="{FF2B5EF4-FFF2-40B4-BE49-F238E27FC236}">
                  <a16:creationId xmlns:a16="http://schemas.microsoft.com/office/drawing/2014/main" id="{00000000-0008-0000-0000-00001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3003463" y="4554236"/>
              <a:ext cx="360000" cy="366075"/>
            </a:xfrm>
            <a:prstGeom prst="rect">
              <a:avLst/>
            </a:prstGeom>
            <a:scene3d>
              <a:camera prst="orthographicFront"/>
              <a:lightRig rig="threePt" dir="t"/>
            </a:scene3d>
            <a:sp3d extrusionH="4203700"/>
          </xdr:spPr>
        </xdr:pic>
        <xdr:pic macro="[0]!rotate_z_bit">
          <xdr:nvPicPr>
            <xdr:cNvPr id="31" name="btn">
              <a:extLst>
                <a:ext uri="{FF2B5EF4-FFF2-40B4-BE49-F238E27FC236}">
                  <a16:creationId xmlns:a16="http://schemas.microsoft.com/office/drawing/2014/main" id="{00000000-0008-0000-0000-00001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9995486" y="4551709"/>
              <a:ext cx="360000" cy="371129"/>
            </a:xfrm>
            <a:prstGeom prst="rect">
              <a:avLst/>
            </a:prstGeom>
            <a:scene3d>
              <a:camera prst="orthographicFront"/>
              <a:lightRig rig="threePt" dir="t"/>
            </a:scene3d>
            <a:sp3d extrusionH="4203700"/>
          </xdr:spPr>
        </xdr:pic>
      </xdr:grpSp>
    </xdr:grpSp>
    <xdr:clientData/>
  </xdr:twoCellAnchor>
  <xdr:twoCellAnchor>
    <xdr:from>
      <xdr:col>15</xdr:col>
      <xdr:colOff>0</xdr:colOff>
      <xdr:row>21</xdr:row>
      <xdr:rowOff>0</xdr:rowOff>
    </xdr:from>
    <xdr:to>
      <xdr:col>16</xdr:col>
      <xdr:colOff>381000</xdr:colOff>
      <xdr:row>22</xdr:row>
      <xdr:rowOff>122464</xdr:rowOff>
    </xdr:to>
    <xdr:sp macro="[0]!set_lock1" textlink="">
      <xdr:nvSpPr>
        <xdr:cNvPr id="2" name="btn_lock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205357" y="5143500"/>
          <a:ext cx="1061357" cy="367393"/>
        </a:xfrm>
        <a:prstGeom prst="roundRect">
          <a:avLst/>
        </a:prstGeom>
        <a:solidFill>
          <a:srgbClr val="FFFFFF"/>
        </a:solidFill>
        <a:ln w="38100">
          <a:solidFill>
            <a:schemeClr val="tx1">
              <a:lumMod val="50000"/>
              <a:lumOff val="50000"/>
            </a:schemeClr>
          </a:solidFill>
        </a:ln>
        <a:effectLst>
          <a:outerShdw blurRad="50800" dist="38100" dir="2700000" algn="tl" rotWithShape="0">
            <a:prstClr val="black">
              <a:alpha val="80000"/>
            </a:prstClr>
          </a:outerShdw>
        </a:effectLst>
        <a:scene3d>
          <a:camera prst="orthographicFront"/>
          <a:lightRig rig="threePt" dir="t"/>
        </a:scene3d>
        <a:sp3d extrusionH="4584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1"/>
        <a:lstStyle/>
        <a:p>
          <a:pPr marL="0" indent="0" algn="l"/>
          <a:r>
            <a:rPr kumimoji="1" lang="ja-JP" altLang="en-US" sz="1400">
              <a:solidFill>
                <a:srgbClr val="000000"/>
              </a:solidFill>
              <a:latin typeface="+mn-lt"/>
              <a:ea typeface="+mn-ea"/>
              <a:cs typeface="+mn-cs"/>
            </a:rPr>
            <a:t>軸</a:t>
          </a:r>
          <a:r>
            <a:rPr kumimoji="1" lang="en-US" altLang="ja-JP" sz="1400">
              <a:solidFill>
                <a:srgbClr val="000000"/>
              </a:solidFill>
              <a:latin typeface="+mn-lt"/>
              <a:ea typeface="+mn-ea"/>
              <a:cs typeface="+mn-cs"/>
            </a:rPr>
            <a:t>1</a:t>
          </a:r>
          <a:r>
            <a:rPr kumimoji="1" lang="ja-JP" altLang="en-US" sz="1400">
              <a:solidFill>
                <a:srgbClr val="000000"/>
              </a:solidFill>
              <a:latin typeface="+mn-lt"/>
              <a:ea typeface="+mn-ea"/>
              <a:cs typeface="+mn-cs"/>
            </a:rPr>
            <a:t>ロック</a:t>
          </a:r>
        </a:p>
      </xdr:txBody>
    </xdr:sp>
    <xdr:clientData/>
  </xdr:twoCellAnchor>
  <xdr:twoCellAnchor>
    <xdr:from>
      <xdr:col>16</xdr:col>
      <xdr:colOff>557893</xdr:colOff>
      <xdr:row>21</xdr:row>
      <xdr:rowOff>0</xdr:rowOff>
    </xdr:from>
    <xdr:to>
      <xdr:col>18</xdr:col>
      <xdr:colOff>258535</xdr:colOff>
      <xdr:row>22</xdr:row>
      <xdr:rowOff>122464</xdr:rowOff>
    </xdr:to>
    <xdr:sp macro="[0]!set_lock2" textlink="">
      <xdr:nvSpPr>
        <xdr:cNvPr id="3" name="btn_lock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1443607" y="5143500"/>
          <a:ext cx="1061357" cy="367393"/>
        </a:xfrm>
        <a:prstGeom prst="roundRect">
          <a:avLst/>
        </a:prstGeom>
        <a:solidFill>
          <a:srgbClr val="FFFFFF"/>
        </a:solidFill>
        <a:ln w="38100">
          <a:solidFill>
            <a:schemeClr val="tx1">
              <a:lumMod val="50000"/>
              <a:lumOff val="50000"/>
            </a:schemeClr>
          </a:solidFill>
        </a:ln>
        <a:effectLst>
          <a:outerShdw blurRad="50800" dist="38100" dir="2700000" algn="tl" rotWithShape="0">
            <a:prstClr val="black">
              <a:alpha val="80000"/>
            </a:prstClr>
          </a:outerShdw>
        </a:effectLst>
        <a:scene3d>
          <a:camera prst="orthographicFront"/>
          <a:lightRig rig="threePt" dir="t"/>
        </a:scene3d>
        <a:sp3d extrusionH="4584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ja-JP" altLang="en-US" sz="1400">
              <a:solidFill>
                <a:srgbClr val="000000"/>
              </a:solidFill>
            </a:rPr>
            <a:t>軸</a:t>
          </a:r>
          <a:r>
            <a:rPr kumimoji="1" lang="en-US" altLang="ja-JP" sz="1400">
              <a:solidFill>
                <a:srgbClr val="000000"/>
              </a:solidFill>
            </a:rPr>
            <a:t>2</a:t>
          </a:r>
          <a:r>
            <a:rPr kumimoji="1" lang="ja-JP" altLang="en-US" sz="1400">
              <a:solidFill>
                <a:srgbClr val="000000"/>
              </a:solidFill>
            </a:rPr>
            <a:t>ロック</a:t>
          </a:r>
        </a:p>
      </xdr:txBody>
    </xdr:sp>
    <xdr:clientData/>
  </xdr:twoCellAnchor>
  <xdr:twoCellAnchor>
    <xdr:from>
      <xdr:col>18</xdr:col>
      <xdr:colOff>435428</xdr:colOff>
      <xdr:row>21</xdr:row>
      <xdr:rowOff>0</xdr:rowOff>
    </xdr:from>
    <xdr:to>
      <xdr:col>20</xdr:col>
      <xdr:colOff>168729</xdr:colOff>
      <xdr:row>22</xdr:row>
      <xdr:rowOff>108857</xdr:rowOff>
    </xdr:to>
    <xdr:sp macro="[0]!set_lock3" textlink="">
      <xdr:nvSpPr>
        <xdr:cNvPr id="5" name="btn_lock3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2681857" y="5143500"/>
          <a:ext cx="1094015" cy="353786"/>
        </a:xfrm>
        <a:prstGeom prst="roundRect">
          <a:avLst/>
        </a:prstGeom>
        <a:solidFill>
          <a:srgbClr val="FFFFFF"/>
        </a:solidFill>
        <a:ln w="38100">
          <a:solidFill>
            <a:schemeClr val="tx1">
              <a:lumMod val="50000"/>
              <a:lumOff val="50000"/>
            </a:schemeClr>
          </a:solidFill>
        </a:ln>
        <a:effectLst>
          <a:outerShdw blurRad="50800" dist="38100" dir="2700000" algn="tl" rotWithShape="0">
            <a:prstClr val="black">
              <a:alpha val="80000"/>
            </a:prstClr>
          </a:outerShdw>
        </a:effectLst>
        <a:scene3d>
          <a:camera prst="orthographicFront"/>
          <a:lightRig rig="threePt" dir="t"/>
        </a:scene3d>
        <a:sp3d extrusionH="4584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ja-JP" altLang="en-US" sz="1400">
              <a:solidFill>
                <a:srgbClr val="000000"/>
              </a:solidFill>
            </a:rPr>
            <a:t>軸</a:t>
          </a:r>
          <a:r>
            <a:rPr kumimoji="1" lang="en-US" altLang="ja-JP" sz="1400">
              <a:solidFill>
                <a:srgbClr val="000000"/>
              </a:solidFill>
            </a:rPr>
            <a:t>3</a:t>
          </a:r>
          <a:r>
            <a:rPr kumimoji="1" lang="ja-JP" altLang="en-US" sz="1400">
              <a:solidFill>
                <a:srgbClr val="000000"/>
              </a:solidFill>
            </a:rPr>
            <a:t>ロック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176894</xdr:colOff>
          <xdr:row>43</xdr:row>
          <xdr:rowOff>160563</xdr:rowOff>
        </xdr:from>
        <xdr:to>
          <xdr:col>18</xdr:col>
          <xdr:colOff>340179</xdr:colOff>
          <xdr:row>45</xdr:row>
          <xdr:rowOff>1360</xdr:rowOff>
        </xdr:to>
        <xdr:sp macro="" textlink="">
          <xdr:nvSpPr>
            <xdr:cNvPr id="5151" name="Button 31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0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表裏反転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176894</xdr:colOff>
          <xdr:row>47</xdr:row>
          <xdr:rowOff>46263</xdr:rowOff>
        </xdr:from>
        <xdr:to>
          <xdr:col>18</xdr:col>
          <xdr:colOff>340179</xdr:colOff>
          <xdr:row>48</xdr:row>
          <xdr:rowOff>131989</xdr:rowOff>
        </xdr:to>
        <xdr:sp macro="" textlink="">
          <xdr:nvSpPr>
            <xdr:cNvPr id="5152" name="Button 32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0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色切り替え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176894</xdr:colOff>
          <xdr:row>45</xdr:row>
          <xdr:rowOff>103413</xdr:rowOff>
        </xdr:from>
        <xdr:to>
          <xdr:col>18</xdr:col>
          <xdr:colOff>340179</xdr:colOff>
          <xdr:row>46</xdr:row>
          <xdr:rowOff>189139</xdr:rowOff>
        </xdr:to>
        <xdr:sp macro="" textlink="">
          <xdr:nvSpPr>
            <xdr:cNvPr id="5153" name="Button 33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0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輪郭切り替え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176894</xdr:colOff>
          <xdr:row>48</xdr:row>
          <xdr:rowOff>234042</xdr:rowOff>
        </xdr:from>
        <xdr:to>
          <xdr:col>18</xdr:col>
          <xdr:colOff>340179</xdr:colOff>
          <xdr:row>50</xdr:row>
          <xdr:rowOff>74838</xdr:rowOff>
        </xdr:to>
        <xdr:sp macro="" textlink="">
          <xdr:nvSpPr>
            <xdr:cNvPr id="5154" name="Button 34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0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透明度切り替え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176894</xdr:colOff>
          <xdr:row>41</xdr:row>
          <xdr:rowOff>95250</xdr:rowOff>
        </xdr:from>
        <xdr:to>
          <xdr:col>18</xdr:col>
          <xdr:colOff>340179</xdr:colOff>
          <xdr:row>42</xdr:row>
          <xdr:rowOff>180975</xdr:rowOff>
        </xdr:to>
        <xdr:sp macro="" textlink="">
          <xdr:nvSpPr>
            <xdr:cNvPr id="5155" name="Button 35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0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形状切り替え</a:t>
              </a:r>
            </a:p>
          </xdr:txBody>
        </xdr:sp>
        <xdr:clientData fPrintsWithSheet="0"/>
      </xdr:twoCellAnchor>
    </mc:Choice>
    <mc:Fallback/>
  </mc:AlternateContent>
  <xdr:twoCellAnchor>
    <xdr:from>
      <xdr:col>15</xdr:col>
      <xdr:colOff>272977</xdr:colOff>
      <xdr:row>28</xdr:row>
      <xdr:rowOff>207819</xdr:rowOff>
    </xdr:from>
    <xdr:to>
      <xdr:col>19</xdr:col>
      <xdr:colOff>307614</xdr:colOff>
      <xdr:row>39</xdr:row>
      <xdr:rowOff>115042</xdr:rowOff>
    </xdr:to>
    <xdr:grpSp>
      <xdr:nvGrpSpPr>
        <xdr:cNvPr id="43" name="グループ化 42">
          <a:extLst>
            <a:ext uri="{FF2B5EF4-FFF2-40B4-BE49-F238E27FC236}">
              <a16:creationId xmlns:a16="http://schemas.microsoft.com/office/drawing/2014/main" id="{85E75C6F-962F-0A90-C0A1-832D11896131}"/>
            </a:ext>
          </a:extLst>
        </xdr:cNvPr>
        <xdr:cNvGrpSpPr/>
      </xdr:nvGrpSpPr>
      <xdr:grpSpPr>
        <a:xfrm>
          <a:off x="10478334" y="7065819"/>
          <a:ext cx="2756066" cy="2601437"/>
          <a:chOff x="10478334" y="7065819"/>
          <a:chExt cx="2756066" cy="2601437"/>
        </a:xfrm>
      </xdr:grpSpPr>
      <xdr:grpSp>
        <xdr:nvGrpSpPr>
          <xdr:cNvPr id="22" name="グループ化 21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GrpSpPr/>
        </xdr:nvGrpSpPr>
        <xdr:grpSpPr>
          <a:xfrm>
            <a:off x="10478334" y="7065819"/>
            <a:ext cx="2756066" cy="515451"/>
            <a:chOff x="10719954" y="6996546"/>
            <a:chExt cx="2805546" cy="519545"/>
          </a:xfrm>
        </xdr:grpSpPr>
        <xdr:sp macro="[0]!arrow_length_up" textlink="">
          <xdr:nvSpPr>
            <xdr:cNvPr id="16" name="四角形: 角を丸くする 15"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SpPr/>
          </xdr:nvSpPr>
          <xdr:spPr>
            <a:xfrm>
              <a:off x="10719954" y="6996546"/>
              <a:ext cx="1264228" cy="519545"/>
            </a:xfrm>
            <a:prstGeom prst="roundRect">
              <a:avLst/>
            </a:prstGeom>
            <a:ln w="381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80000"/>
                </a:prstClr>
              </a:outerShdw>
            </a:effectLst>
            <a:scene3d>
              <a:camera prst="orthographicFront"/>
              <a:lightRig rig="threePt" dir="t"/>
            </a:scene3d>
            <a:sp3d extrusionH="45847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kumimoji="1" lang="ja-JP" altLang="en-US" sz="1400"/>
                <a:t>長く</a:t>
              </a:r>
            </a:p>
          </xdr:txBody>
        </xdr:sp>
        <xdr:sp macro="[0]!arrow_length_down" textlink="">
          <xdr:nvSpPr>
            <xdr:cNvPr id="17" name="四角形: 角を丸くする 16">
              <a:extLst>
                <a:ext uri="{FF2B5EF4-FFF2-40B4-BE49-F238E27FC236}">
                  <a16:creationId xmlns:a16="http://schemas.microsoft.com/office/drawing/2014/main" id="{00000000-0008-0000-0000-000011000000}"/>
                </a:ext>
              </a:extLst>
            </xdr:cNvPr>
            <xdr:cNvSpPr/>
          </xdr:nvSpPr>
          <xdr:spPr>
            <a:xfrm>
              <a:off x="12261272" y="6996546"/>
              <a:ext cx="1264228" cy="519545"/>
            </a:xfrm>
            <a:prstGeom prst="roundRect">
              <a:avLst/>
            </a:prstGeom>
            <a:ln w="381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80000"/>
                </a:prstClr>
              </a:outerShdw>
            </a:effectLst>
            <a:scene3d>
              <a:camera prst="orthographicFront"/>
              <a:lightRig rig="threePt" dir="t"/>
            </a:scene3d>
            <a:sp3d extrusionH="45847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kumimoji="1" lang="ja-JP" altLang="en-US" sz="1400"/>
                <a:t>短く</a:t>
              </a:r>
            </a:p>
          </xdr:txBody>
        </xdr:sp>
      </xdr:grpSp>
      <xdr:grpSp>
        <xdr:nvGrpSpPr>
          <xdr:cNvPr id="23" name="グループ化 22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GrpSpPr/>
        </xdr:nvGrpSpPr>
        <xdr:grpSpPr>
          <a:xfrm>
            <a:off x="10478334" y="8099288"/>
            <a:ext cx="2756066" cy="524976"/>
            <a:chOff x="10719954" y="7827819"/>
            <a:chExt cx="2805546" cy="519545"/>
          </a:xfrm>
        </xdr:grpSpPr>
        <xdr:sp macro="[0]!arrow_width_up" textlink="">
          <xdr:nvSpPr>
            <xdr:cNvPr id="18" name="四角形: 角を丸くする 17">
              <a:extLst>
                <a:ext uri="{FF2B5EF4-FFF2-40B4-BE49-F238E27FC236}">
                  <a16:creationId xmlns:a16="http://schemas.microsoft.com/office/drawing/2014/main" id="{00000000-0008-0000-0000-000012000000}"/>
                </a:ext>
              </a:extLst>
            </xdr:cNvPr>
            <xdr:cNvSpPr/>
          </xdr:nvSpPr>
          <xdr:spPr>
            <a:xfrm>
              <a:off x="10719954" y="7827819"/>
              <a:ext cx="1264228" cy="519545"/>
            </a:xfrm>
            <a:prstGeom prst="roundRect">
              <a:avLst/>
            </a:prstGeom>
            <a:ln w="381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80000"/>
                </a:prstClr>
              </a:outerShdw>
            </a:effectLst>
            <a:scene3d>
              <a:camera prst="orthographicFront"/>
              <a:lightRig rig="threePt" dir="t"/>
            </a:scene3d>
            <a:sp3d extrusionH="45847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kumimoji="1" lang="ja-JP" altLang="en-US" sz="1400"/>
                <a:t>太く</a:t>
              </a:r>
            </a:p>
          </xdr:txBody>
        </xdr:sp>
        <xdr:sp macro="[0]!arrow_width_down" textlink="">
          <xdr:nvSpPr>
            <xdr:cNvPr id="19" name="四角形: 角を丸くする 18">
              <a:extLst>
                <a:ext uri="{FF2B5EF4-FFF2-40B4-BE49-F238E27FC236}">
                  <a16:creationId xmlns:a16="http://schemas.microsoft.com/office/drawing/2014/main" id="{00000000-0008-0000-0000-000013000000}"/>
                </a:ext>
              </a:extLst>
            </xdr:cNvPr>
            <xdr:cNvSpPr/>
          </xdr:nvSpPr>
          <xdr:spPr>
            <a:xfrm>
              <a:off x="12261272" y="7827819"/>
              <a:ext cx="1264228" cy="519545"/>
            </a:xfrm>
            <a:prstGeom prst="roundRect">
              <a:avLst/>
            </a:prstGeom>
            <a:ln w="381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80000"/>
                </a:prstClr>
              </a:outerShdw>
            </a:effectLst>
            <a:scene3d>
              <a:camera prst="orthographicFront"/>
              <a:lightRig rig="threePt" dir="t"/>
            </a:scene3d>
            <a:sp3d extrusionH="45847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kumimoji="1" lang="ja-JP" altLang="en-US" sz="1400"/>
                <a:t>細く</a:t>
              </a:r>
            </a:p>
          </xdr:txBody>
        </xdr:sp>
      </xdr:grpSp>
      <xdr:grpSp>
        <xdr:nvGrpSpPr>
          <xdr:cNvPr id="24" name="グループ化 23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GrpSpPr/>
        </xdr:nvGrpSpPr>
        <xdr:grpSpPr>
          <a:xfrm>
            <a:off x="10478334" y="9142280"/>
            <a:ext cx="2756066" cy="524976"/>
            <a:chOff x="10719954" y="8607137"/>
            <a:chExt cx="2805546" cy="519545"/>
          </a:xfrm>
        </xdr:grpSpPr>
        <xdr:sp macro="[0]!arrow_depth_up" textlink="">
          <xdr:nvSpPr>
            <xdr:cNvPr id="20" name="四角形: 角を丸くする 19">
              <a:extLst>
                <a:ext uri="{FF2B5EF4-FFF2-40B4-BE49-F238E27FC236}">
                  <a16:creationId xmlns:a16="http://schemas.microsoft.com/office/drawing/2014/main" id="{00000000-0008-0000-0000-000014000000}"/>
                </a:ext>
              </a:extLst>
            </xdr:cNvPr>
            <xdr:cNvSpPr/>
          </xdr:nvSpPr>
          <xdr:spPr>
            <a:xfrm>
              <a:off x="10719954" y="8607137"/>
              <a:ext cx="1264228" cy="519545"/>
            </a:xfrm>
            <a:prstGeom prst="roundRect">
              <a:avLst/>
            </a:prstGeom>
            <a:ln w="381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80000"/>
                </a:prstClr>
              </a:outerShdw>
            </a:effectLst>
            <a:scene3d>
              <a:camera prst="orthographicFront"/>
              <a:lightRig rig="threePt" dir="t"/>
            </a:scene3d>
            <a:sp3d extrusionH="45847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kumimoji="1" lang="ja-JP" altLang="en-US" sz="1400"/>
                <a:t>厚く</a:t>
              </a:r>
            </a:p>
          </xdr:txBody>
        </xdr:sp>
        <xdr:sp macro="[0]!arrow_depth_down" textlink="">
          <xdr:nvSpPr>
            <xdr:cNvPr id="21" name="四角形: 角を丸くする 20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SpPr/>
          </xdr:nvSpPr>
          <xdr:spPr>
            <a:xfrm>
              <a:off x="12261272" y="8607137"/>
              <a:ext cx="1264228" cy="519545"/>
            </a:xfrm>
            <a:prstGeom prst="roundRect">
              <a:avLst/>
            </a:prstGeom>
            <a:ln w="381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80000"/>
                </a:prstClr>
              </a:outerShdw>
            </a:effectLst>
            <a:scene3d>
              <a:camera prst="orthographicFront"/>
              <a:lightRig rig="threePt" dir="t"/>
            </a:scene3d>
            <a:sp3d extrusionH="45847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kumimoji="1" lang="ja-JP" altLang="en-US" sz="1400"/>
                <a:t>薄く</a:t>
              </a:r>
            </a:p>
          </xdr:txBody>
        </xdr:sp>
      </xdr:grpSp>
      <xdr:grpSp>
        <xdr:nvGrpSpPr>
          <xdr:cNvPr id="37" name="グループ化 36">
            <a:extLst>
              <a:ext uri="{FF2B5EF4-FFF2-40B4-BE49-F238E27FC236}">
                <a16:creationId xmlns:a16="http://schemas.microsoft.com/office/drawing/2014/main" id="{11215FC1-7777-30D0-637B-067AE9A1F0FA}"/>
              </a:ext>
            </a:extLst>
          </xdr:cNvPr>
          <xdr:cNvGrpSpPr/>
        </xdr:nvGrpSpPr>
        <xdr:grpSpPr>
          <a:xfrm>
            <a:off x="10478334" y="7614637"/>
            <a:ext cx="2756066" cy="288000"/>
            <a:chOff x="10719954" y="6996546"/>
            <a:chExt cx="2805546" cy="519545"/>
          </a:xfrm>
        </xdr:grpSpPr>
        <xdr:sp macro="[0]!arrow_head_up" textlink="">
          <xdr:nvSpPr>
            <xdr:cNvPr id="38" name="四角形: 角を丸くする 37">
              <a:extLst>
                <a:ext uri="{FF2B5EF4-FFF2-40B4-BE49-F238E27FC236}">
                  <a16:creationId xmlns:a16="http://schemas.microsoft.com/office/drawing/2014/main" id="{0A2795C4-4242-84D4-D778-8641CFFD995E}"/>
                </a:ext>
              </a:extLst>
            </xdr:cNvPr>
            <xdr:cNvSpPr/>
          </xdr:nvSpPr>
          <xdr:spPr>
            <a:xfrm>
              <a:off x="10719954" y="6996546"/>
              <a:ext cx="1264228" cy="519545"/>
            </a:xfrm>
            <a:prstGeom prst="roundRect">
              <a:avLst/>
            </a:prstGeom>
            <a:ln w="1905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80000"/>
                </a:prstClr>
              </a:outerShdw>
            </a:effectLst>
            <a:scene3d>
              <a:camera prst="orthographicFront"/>
              <a:lightRig rig="threePt" dir="t"/>
            </a:scene3d>
            <a:sp3d extrusionH="45847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kumimoji="1" lang="ja-JP" altLang="en-US" sz="1400"/>
                <a:t>頭長く</a:t>
              </a:r>
            </a:p>
          </xdr:txBody>
        </xdr:sp>
        <xdr:sp macro="[0]!arrow_head_down" textlink="">
          <xdr:nvSpPr>
            <xdr:cNvPr id="39" name="四角形: 角を丸くする 38">
              <a:extLst>
                <a:ext uri="{FF2B5EF4-FFF2-40B4-BE49-F238E27FC236}">
                  <a16:creationId xmlns:a16="http://schemas.microsoft.com/office/drawing/2014/main" id="{FCB158EC-7A16-338B-AE83-CA376FDF4742}"/>
                </a:ext>
              </a:extLst>
            </xdr:cNvPr>
            <xdr:cNvSpPr/>
          </xdr:nvSpPr>
          <xdr:spPr>
            <a:xfrm>
              <a:off x="12261272" y="6996546"/>
              <a:ext cx="1264228" cy="519545"/>
            </a:xfrm>
            <a:prstGeom prst="roundRect">
              <a:avLst/>
            </a:prstGeom>
            <a:ln w="1905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80000"/>
                </a:prstClr>
              </a:outerShdw>
            </a:effectLst>
            <a:scene3d>
              <a:camera prst="orthographicFront"/>
              <a:lightRig rig="threePt" dir="t"/>
            </a:scene3d>
            <a:sp3d extrusionH="45847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kumimoji="1" lang="ja-JP" altLang="en-US" sz="1400"/>
                <a:t>頭短く</a:t>
              </a:r>
            </a:p>
          </xdr:txBody>
        </xdr:sp>
      </xdr:grpSp>
      <xdr:grpSp>
        <xdr:nvGrpSpPr>
          <xdr:cNvPr id="40" name="グループ化 39">
            <a:extLst>
              <a:ext uri="{FF2B5EF4-FFF2-40B4-BE49-F238E27FC236}">
                <a16:creationId xmlns:a16="http://schemas.microsoft.com/office/drawing/2014/main" id="{EAFF9A5F-6AF5-DC38-F83A-207069613190}"/>
              </a:ext>
            </a:extLst>
          </xdr:cNvPr>
          <xdr:cNvGrpSpPr/>
        </xdr:nvGrpSpPr>
        <xdr:grpSpPr>
          <a:xfrm>
            <a:off x="10478334" y="8657631"/>
            <a:ext cx="2756066" cy="288000"/>
            <a:chOff x="10719954" y="6996546"/>
            <a:chExt cx="2805546" cy="519545"/>
          </a:xfrm>
        </xdr:grpSpPr>
        <xdr:sp macro="[0]!arrow_body_up" textlink="">
          <xdr:nvSpPr>
            <xdr:cNvPr id="41" name="四角形: 角を丸くする 40">
              <a:extLst>
                <a:ext uri="{FF2B5EF4-FFF2-40B4-BE49-F238E27FC236}">
                  <a16:creationId xmlns:a16="http://schemas.microsoft.com/office/drawing/2014/main" id="{E4A9ED96-4218-2A1E-4E78-D1ED076EE18E}"/>
                </a:ext>
              </a:extLst>
            </xdr:cNvPr>
            <xdr:cNvSpPr/>
          </xdr:nvSpPr>
          <xdr:spPr>
            <a:xfrm>
              <a:off x="10719954" y="6996546"/>
              <a:ext cx="1264228" cy="519545"/>
            </a:xfrm>
            <a:prstGeom prst="roundRect">
              <a:avLst/>
            </a:prstGeom>
            <a:ln w="1905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80000"/>
                </a:prstClr>
              </a:outerShdw>
            </a:effectLst>
            <a:scene3d>
              <a:camera prst="orthographicFront"/>
              <a:lightRig rig="threePt" dir="t"/>
            </a:scene3d>
            <a:sp3d extrusionH="45847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kumimoji="1" lang="ja-JP" altLang="en-US" sz="1400"/>
                <a:t>体太く</a:t>
              </a:r>
            </a:p>
          </xdr:txBody>
        </xdr:sp>
        <xdr:sp macro="[0]!arrow_body_down" textlink="">
          <xdr:nvSpPr>
            <xdr:cNvPr id="42" name="四角形: 角を丸くする 41">
              <a:extLst>
                <a:ext uri="{FF2B5EF4-FFF2-40B4-BE49-F238E27FC236}">
                  <a16:creationId xmlns:a16="http://schemas.microsoft.com/office/drawing/2014/main" id="{4918E3A0-59F0-149C-2C6A-33EE35CA1BA9}"/>
                </a:ext>
              </a:extLst>
            </xdr:cNvPr>
            <xdr:cNvSpPr/>
          </xdr:nvSpPr>
          <xdr:spPr>
            <a:xfrm>
              <a:off x="12261272" y="6996546"/>
              <a:ext cx="1264228" cy="519545"/>
            </a:xfrm>
            <a:prstGeom prst="roundRect">
              <a:avLst/>
            </a:prstGeom>
            <a:ln w="1905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80000"/>
                </a:prstClr>
              </a:outerShdw>
            </a:effectLst>
            <a:scene3d>
              <a:camera prst="orthographicFront"/>
              <a:lightRig rig="threePt" dir="t"/>
            </a:scene3d>
            <a:sp3d extrusionH="45847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kumimoji="1" lang="ja-JP" altLang="en-US" sz="1400"/>
                <a:t>体細く</a:t>
              </a:r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176894</xdr:colOff>
          <xdr:row>51</xdr:row>
          <xdr:rowOff>95250</xdr:rowOff>
        </xdr:from>
        <xdr:to>
          <xdr:col>18</xdr:col>
          <xdr:colOff>340179</xdr:colOff>
          <xdr:row>52</xdr:row>
          <xdr:rowOff>180975</xdr:rowOff>
        </xdr:to>
        <xdr:sp macro="" textlink="">
          <xdr:nvSpPr>
            <xdr:cNvPr id="5156" name="Button 36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0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コア表示切り替え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631247</xdr:colOff>
      <xdr:row>15</xdr:row>
      <xdr:rowOff>0</xdr:rowOff>
    </xdr:from>
    <xdr:to>
      <xdr:col>19</xdr:col>
      <xdr:colOff>640773</xdr:colOff>
      <xdr:row>20</xdr:row>
      <xdr:rowOff>86591</xdr:rowOff>
    </xdr:to>
    <xdr:sp macro="[0]!release" textlink="">
      <xdr:nvSpPr>
        <xdr:cNvPr id="6" name="lock_release" hidden="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0329429" y="3636818"/>
          <a:ext cx="3473162" cy="1298864"/>
        </a:xfrm>
        <a:prstGeom prst="rect">
          <a:avLst/>
        </a:prstGeom>
        <a:solidFill>
          <a:srgbClr val="DDDDD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kumimoji="1" lang="ja-JP" altLang="en-US" sz="1400">
              <a:solidFill>
                <a:sysClr val="windowText" lastClr="000000"/>
              </a:solidFill>
            </a:rPr>
            <a:t>軸ロック中は</a:t>
          </a:r>
          <a:r>
            <a:rPr kumimoji="1" lang="en-US" altLang="ja-JP" sz="1400">
              <a:solidFill>
                <a:sysClr val="windowText" lastClr="000000"/>
              </a:solidFill>
            </a:rPr>
            <a:t>Z</a:t>
          </a:r>
          <a:r>
            <a:rPr kumimoji="1" lang="ja-JP" altLang="en-US" sz="1400">
              <a:solidFill>
                <a:sysClr val="windowText" lastClr="000000"/>
              </a:solidFill>
            </a:rPr>
            <a:t>軸回転できません</a:t>
          </a:r>
          <a:endParaRPr kumimoji="1" lang="en-US" altLang="ja-JP" sz="1400">
            <a:solidFill>
              <a:sysClr val="windowText" lastClr="000000"/>
            </a:solidFill>
          </a:endParaRPr>
        </a:p>
        <a:p>
          <a:pPr algn="ctr"/>
          <a:r>
            <a:rPr kumimoji="1" lang="ja-JP" altLang="en-US" sz="1400">
              <a:solidFill>
                <a:sysClr val="windowText" lastClr="000000"/>
              </a:solidFill>
            </a:rPr>
            <a:t>クリックでロック解除します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190499</xdr:rowOff>
        </xdr:from>
        <xdr:to>
          <xdr:col>2</xdr:col>
          <xdr:colOff>612322</xdr:colOff>
          <xdr:row>8</xdr:row>
          <xdr:rowOff>31295</xdr:rowOff>
        </xdr:to>
        <xdr:sp macro="" textlink="">
          <xdr:nvSpPr>
            <xdr:cNvPr id="5157" name="Button 37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0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選択オブジェクトを最前面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108855</xdr:rowOff>
        </xdr:from>
        <xdr:to>
          <xdr:col>2</xdr:col>
          <xdr:colOff>612322</xdr:colOff>
          <xdr:row>10</xdr:row>
          <xdr:rowOff>194580</xdr:rowOff>
        </xdr:to>
        <xdr:sp macro="" textlink="">
          <xdr:nvSpPr>
            <xdr:cNvPr id="5158" name="Button 38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0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選択オブジェクトを最背面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14</xdr:col>
      <xdr:colOff>36895</xdr:colOff>
      <xdr:row>1</xdr:row>
      <xdr:rowOff>38065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9638095" cy="27619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</xdr:row>
      <xdr:rowOff>0</xdr:rowOff>
    </xdr:from>
    <xdr:to>
      <xdr:col>9</xdr:col>
      <xdr:colOff>189705</xdr:colOff>
      <xdr:row>5</xdr:row>
      <xdr:rowOff>47589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952500"/>
          <a:ext cx="6361905" cy="28571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0</xdr:rowOff>
    </xdr:from>
    <xdr:to>
      <xdr:col>6</xdr:col>
      <xdr:colOff>580524</xdr:colOff>
      <xdr:row>30</xdr:row>
      <xdr:rowOff>46934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85800" y="1666875"/>
          <a:ext cx="4009524" cy="5523809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6F155A-8E83-4935-95AB-3767FF73452C}">
  <sheetPr codeName="Sheet4"/>
  <dimension ref="G1:AI51"/>
  <sheetViews>
    <sheetView showGridLines="0" showRowColHeaders="0" tabSelected="1" zoomScale="70" zoomScaleNormal="70" workbookViewId="0">
      <selection activeCell="F18" sqref="F18"/>
    </sheetView>
  </sheetViews>
  <sheetFormatPr defaultRowHeight="18.75" x14ac:dyDescent="0.4"/>
  <cols>
    <col min="22" max="22" width="10.25" customWidth="1"/>
    <col min="32" max="32" width="9.875" bestFit="1" customWidth="1"/>
  </cols>
  <sheetData>
    <row r="1" spans="22:33" x14ac:dyDescent="0.4">
      <c r="V1" t="s">
        <v>0</v>
      </c>
      <c r="W1" s="13">
        <v>30</v>
      </c>
      <c r="Y1" s="1">
        <f>COS(RADIANS(rX))</f>
        <v>0.86602540378443871</v>
      </c>
      <c r="Z1" s="2">
        <v>0</v>
      </c>
      <c r="AA1" s="1">
        <f>SIN(RADIANS(rX))</f>
        <v>0.49999999999999994</v>
      </c>
      <c r="AB1" s="5">
        <v>0</v>
      </c>
      <c r="AC1" s="2">
        <v>1</v>
      </c>
      <c r="AD1" s="6">
        <v>0</v>
      </c>
      <c r="AE1" s="1">
        <f>-SIN(RADIANS(rX))</f>
        <v>-0.49999999999999994</v>
      </c>
      <c r="AF1" s="2">
        <v>0</v>
      </c>
      <c r="AG1" s="1">
        <f>COS(RADIANS(rX))</f>
        <v>0.86602540378443871</v>
      </c>
    </row>
    <row r="2" spans="22:33" x14ac:dyDescent="0.4">
      <c r="V2" t="s">
        <v>1</v>
      </c>
      <c r="W2" s="13">
        <v>15</v>
      </c>
      <c r="Y2" s="2">
        <v>1</v>
      </c>
      <c r="Z2" s="2">
        <v>0</v>
      </c>
      <c r="AA2" s="2">
        <v>0</v>
      </c>
      <c r="AB2" s="5">
        <v>0</v>
      </c>
      <c r="AC2" s="1">
        <f>COS(RADIANS(rY))</f>
        <v>0.96592582628906831</v>
      </c>
      <c r="AD2" s="7">
        <f>-SIN(RADIANS(rY))</f>
        <v>-0.25881904510252074</v>
      </c>
      <c r="AE2" s="2">
        <v>0</v>
      </c>
      <c r="AF2" s="1">
        <f>SIN(RADIANS(rY))</f>
        <v>0.25881904510252074</v>
      </c>
      <c r="AG2" s="1">
        <f>COS(RADIANS(rY))</f>
        <v>0.96592582628906831</v>
      </c>
    </row>
    <row r="3" spans="22:33" x14ac:dyDescent="0.4">
      <c r="V3" t="s">
        <v>2</v>
      </c>
      <c r="W3" s="13">
        <v>0</v>
      </c>
      <c r="Y3" s="1">
        <f>COS(RADIANS(-rZ))</f>
        <v>1</v>
      </c>
      <c r="Z3" s="1">
        <f>-SIN(RADIANS(-rZ))</f>
        <v>0</v>
      </c>
      <c r="AA3" s="2">
        <v>0</v>
      </c>
      <c r="AB3" s="8">
        <f>SIN(RADIANS(-rZ))</f>
        <v>0</v>
      </c>
      <c r="AC3" s="1">
        <f>COS(RADIANS(-rZ))</f>
        <v>1</v>
      </c>
      <c r="AD3" s="6">
        <v>0</v>
      </c>
      <c r="AE3" s="2">
        <v>0</v>
      </c>
      <c r="AF3" s="2">
        <v>0</v>
      </c>
      <c r="AG3" s="2">
        <v>1</v>
      </c>
    </row>
    <row r="5" spans="22:33" x14ac:dyDescent="0.4">
      <c r="W5" t="s">
        <v>16</v>
      </c>
      <c r="X5" t="s">
        <v>17</v>
      </c>
      <c r="Y5" t="s">
        <v>18</v>
      </c>
      <c r="Z5" t="s">
        <v>27</v>
      </c>
    </row>
    <row r="6" spans="22:33" x14ac:dyDescent="0.4">
      <c r="V6" t="s">
        <v>9</v>
      </c>
      <c r="W6" s="3">
        <v>1</v>
      </c>
      <c r="X6" s="3">
        <v>0</v>
      </c>
      <c r="Y6" s="3">
        <v>0</v>
      </c>
      <c r="Z6" s="10">
        <f t="shared" ref="Z6" si="0">DEGREES(ATAN(X6/W6))</f>
        <v>0</v>
      </c>
    </row>
    <row r="7" spans="22:33" x14ac:dyDescent="0.4">
      <c r="V7" t="s">
        <v>10</v>
      </c>
      <c r="W7" s="3">
        <v>0</v>
      </c>
      <c r="X7" s="3">
        <v>1</v>
      </c>
      <c r="Y7" s="3">
        <v>0</v>
      </c>
      <c r="Z7" s="10">
        <v>90</v>
      </c>
    </row>
    <row r="8" spans="22:33" x14ac:dyDescent="0.4">
      <c r="V8" t="s">
        <v>11</v>
      </c>
      <c r="W8" s="3">
        <v>0</v>
      </c>
      <c r="X8" s="3">
        <v>0</v>
      </c>
      <c r="Y8" s="3">
        <v>1</v>
      </c>
      <c r="Z8" s="10"/>
    </row>
    <row r="9" spans="22:33" x14ac:dyDescent="0.4">
      <c r="AB9" s="12"/>
      <c r="AE9" t="s">
        <v>15</v>
      </c>
    </row>
    <row r="10" spans="22:33" x14ac:dyDescent="0.4">
      <c r="V10" t="s">
        <v>12</v>
      </c>
      <c r="W10" s="3">
        <f>((W6*Y1+Y6*AA1)*Y2)*Y3+((X6*AC1)*AC2+(W6*AE1+Y6*AG1)*AD2)*Z3</f>
        <v>0.86602540378443871</v>
      </c>
      <c r="X10" s="3">
        <f>((W6*Y1+Y6*AA1)*Y2)*AB3+((X6*AC1)*AC2+(W6*AE1+Y6*AG1)*AD2)*AC3</f>
        <v>0.12940952255126034</v>
      </c>
      <c r="Y10" s="3">
        <f>(X6*AC1)*AF2+(W6*AE1+Y6*AG1)*AG2</f>
        <v>-0.4829629131445341</v>
      </c>
      <c r="Z10" s="4">
        <f>IF(hoseiy1&gt;0,IF(hoseix1&gt;0,DEGREES(ATAN(hoseiy1/hoseix1)),IF(hoseix1&lt;0,180+DEGREES(ATAN(hoseiy1/hoseix1)),90)),IF(hoseiy1&lt;0,IF(hoseix1&lt;0,180+DEGREES(ATAN(hoseiy1/hoseix1)),IF(hoseix1&gt;0,360+DEGREES(ATAN(hoseiy1/hoseix1)),270)),IF(hoseix1&gt;0,0,IF(hoseix1&lt;0,180,"-"))))</f>
        <v>8.4987807034780438</v>
      </c>
      <c r="AB10" s="4"/>
      <c r="AD10" s="9"/>
      <c r="AE10" s="3" cm="1">
        <f t="array" ref="AE10:AG10">TRANSPOSE(MMULT(_xlfn.WRAPROWS(Y3:AG3,3),MMULT(_xlfn.WRAPROWS(Y2:AG2,3),MMULT(_xlfn.WRAPROWS(Y1:AG1,3),TRANSPOSE({1,0,0})))))</f>
        <v>0.86602540378443871</v>
      </c>
      <c r="AF10" s="3">
        <v>0.12940952255126034</v>
      </c>
      <c r="AG10" s="3">
        <v>-0.4829629131445341</v>
      </c>
    </row>
    <row r="11" spans="22:33" x14ac:dyDescent="0.4">
      <c r="V11" t="s">
        <v>13</v>
      </c>
      <c r="W11" s="3">
        <f>((W7*Y1+Y7*AA1)*Y2)*Y3+((X7*AC1)*AC2+(W7*AE1+Y7*AG1)*AD2)*Z3</f>
        <v>0</v>
      </c>
      <c r="X11" s="3">
        <f>((W7*Y1+Y7*AA1)*Y2)*AB3+((X7*AC1)*AC2+(W7*AE1+Y7*AG1)*AD2)*AC3</f>
        <v>0.96592582628906831</v>
      </c>
      <c r="Y11" s="3">
        <f>(X7*AC1)*AF2+(W7*AE1+Y7*AG1)*AG2</f>
        <v>0.25881904510252074</v>
      </c>
      <c r="Z11" s="4">
        <f>IF(hoseiy2&gt;0,IF(hoseix2&gt;0,DEGREES(ATAN(hoseiy2/hoseix2)),IF(hoseix2&lt;0,180+DEGREES(ATAN(hoseiy2/hoseix2)),90)),IF(hoseiy2&lt;0,IF(hoseix2&lt;0,180+DEGREES(ATAN(hoseiy2/hoseix2)),IF(hoseix2&gt;0,360+DEGREES(ATAN(hoseiy2/hoseix2)),270)),IF(hoseix2&gt;0,0,IF(hoseix2&lt;0,180,"-"))))</f>
        <v>90</v>
      </c>
      <c r="AB11" s="4"/>
      <c r="AD11" s="9"/>
      <c r="AE11" s="3" cm="1">
        <f t="array" ref="AE11:AG11">TRANSPOSE(MMULT(_xlfn.WRAPROWS(Y3:AG3,3),MMULT(_xlfn.WRAPROWS(Y2:AG2,3),MMULT(_xlfn.WRAPROWS(Y1:AG1,3),TRANSPOSE({0,1,0})))))</f>
        <v>0</v>
      </c>
      <c r="AF11" s="3">
        <v>0.96592582628906831</v>
      </c>
      <c r="AG11" s="3">
        <v>0.25881904510252074</v>
      </c>
    </row>
    <row r="12" spans="22:33" x14ac:dyDescent="0.4">
      <c r="V12" t="s">
        <v>14</v>
      </c>
      <c r="W12" s="3">
        <f>((W8*Y1+Y8*AA1)*Y2)*Y3+((X8*AC1)*AC2+(W8*AE1+Y8*AG1)*AD2)*Z3</f>
        <v>0.49999999999999994</v>
      </c>
      <c r="X12" s="3">
        <f>((W8*Y1+Y8*AA1)*Y2)*AB3+((X8*AC1)*AC2+(W8*AE1+Y8*AG1)*AD2)*AC3</f>
        <v>-0.22414386804201339</v>
      </c>
      <c r="Y12" s="3">
        <f>(X8*AC1)*AF2+(W8*AE1+Y8*AG1)*AG2</f>
        <v>0.83651630373780794</v>
      </c>
      <c r="Z12" s="4">
        <f>IF(hoseiy3&gt;0,IF(hoseix3&gt;0,DEGREES(ATAN(hoseiy3/hoseix3)),IF(hoseix3&lt;0,180+DEGREES(ATAN(hoseiy3/hoseix3)),90)),IF(hoseiy3&lt;0,IF(hoseix3&lt;0,180+DEGREES(ATAN(hoseiy3/hoseix3)),IF(hoseix3&gt;0,360+DEGREES(ATAN(hoseiy3/hoseix3)),270)),IF(hoseix3&gt;0,0,IF(hoseix3&lt;0,180,"-"))))</f>
        <v>335.85389154869506</v>
      </c>
      <c r="AB12" s="4"/>
      <c r="AD12" s="9"/>
      <c r="AE12" s="3" cm="1">
        <f t="array" ref="AE12:AG12">TRANSPOSE(MMULT(_xlfn.WRAPROWS(Y3:AG3,3),MMULT(_xlfn.WRAPROWS(Y2:AG2,3),MMULT(_xlfn.WRAPROWS(Y1:AG1,3),TRANSPOSE({0,0,1})))))</f>
        <v>0.49999999999999994</v>
      </c>
      <c r="AF12" s="3">
        <v>-0.22414386804201339</v>
      </c>
      <c r="AG12" s="3">
        <v>0.83651630373780794</v>
      </c>
    </row>
    <row r="16" spans="22:33" x14ac:dyDescent="0.4">
      <c r="V16" t="s">
        <v>24</v>
      </c>
      <c r="W16">
        <v>0</v>
      </c>
      <c r="X16">
        <v>0</v>
      </c>
    </row>
    <row r="17" spans="7:24" x14ac:dyDescent="0.4">
      <c r="W17" s="1">
        <f>W10</f>
        <v>0.86602540378443871</v>
      </c>
      <c r="X17" s="1">
        <f>X10</f>
        <v>0.12940952255126034</v>
      </c>
    </row>
    <row r="18" spans="7:24" x14ac:dyDescent="0.4">
      <c r="G18" t="s">
        <v>32</v>
      </c>
      <c r="V18" t="s">
        <v>25</v>
      </c>
      <c r="W18">
        <v>0</v>
      </c>
      <c r="X18">
        <v>0</v>
      </c>
    </row>
    <row r="19" spans="7:24" x14ac:dyDescent="0.4">
      <c r="W19" s="1">
        <f>W11</f>
        <v>0</v>
      </c>
      <c r="X19" s="1">
        <f>X11</f>
        <v>0.96592582628906831</v>
      </c>
    </row>
    <row r="20" spans="7:24" x14ac:dyDescent="0.4">
      <c r="V20" t="s">
        <v>26</v>
      </c>
      <c r="W20">
        <v>0</v>
      </c>
      <c r="X20">
        <v>0</v>
      </c>
    </row>
    <row r="21" spans="7:24" x14ac:dyDescent="0.4">
      <c r="W21" s="1">
        <f>W12</f>
        <v>0.49999999999999994</v>
      </c>
      <c r="X21" s="1">
        <f>X12</f>
        <v>-0.22414386804201339</v>
      </c>
    </row>
    <row r="22" spans="7:24" x14ac:dyDescent="0.4">
      <c r="W22" t="e">
        <f>IF(flag_lock=1,W17,IF(flag_lock=2,W19,IF(flag_lock=3,W21,NA())))</f>
        <v>#N/A</v>
      </c>
      <c r="X22" t="e">
        <f>IF(flag_lock=1,X17,IF(flag_lock=2,X19,IF(flag_lock=3,X21,NA())))</f>
        <v>#N/A</v>
      </c>
    </row>
    <row r="23" spans="7:24" x14ac:dyDescent="0.4">
      <c r="V23" t="s">
        <v>23</v>
      </c>
      <c r="W23">
        <v>0</v>
      </c>
      <c r="X23">
        <v>0</v>
      </c>
    </row>
    <row r="24" spans="7:24" x14ac:dyDescent="0.4">
      <c r="W24" t="e">
        <f>IF(OR(W22=0,W22=1),W22,IF(X22=0,2,W22/MIN(ABS(W22),ABS(X22))))</f>
        <v>#N/A</v>
      </c>
      <c r="X24" t="e">
        <f>IF(OR(X22=0,X22=1),X22,IF(W22=0,2,X22/MIN(ABS(W22),ABS(X22))))</f>
        <v>#N/A</v>
      </c>
    </row>
    <row r="30" spans="7:24" x14ac:dyDescent="0.4">
      <c r="V30" t="s">
        <v>28</v>
      </c>
      <c r="W30">
        <v>120</v>
      </c>
    </row>
    <row r="31" spans="7:24" x14ac:dyDescent="0.4">
      <c r="V31" t="s">
        <v>29</v>
      </c>
      <c r="W31">
        <v>50</v>
      </c>
    </row>
    <row r="32" spans="7:24" x14ac:dyDescent="0.4">
      <c r="V32" t="s">
        <v>30</v>
      </c>
      <c r="W32">
        <v>5</v>
      </c>
    </row>
    <row r="40" spans="22:35" x14ac:dyDescent="0.4">
      <c r="V40" t="s">
        <v>3</v>
      </c>
      <c r="W40">
        <v>0</v>
      </c>
      <c r="X40">
        <v>0</v>
      </c>
    </row>
    <row r="41" spans="22:35" x14ac:dyDescent="0.4">
      <c r="V41" t="s">
        <v>4</v>
      </c>
      <c r="W41">
        <v>0</v>
      </c>
      <c r="X41">
        <v>0</v>
      </c>
    </row>
    <row r="42" spans="22:35" x14ac:dyDescent="0.4">
      <c r="V42" t="s">
        <v>5</v>
      </c>
      <c r="W42">
        <v>0</v>
      </c>
      <c r="X42">
        <v>0</v>
      </c>
    </row>
    <row r="44" spans="22:35" x14ac:dyDescent="0.4">
      <c r="AH44" s="1"/>
      <c r="AI44" s="1"/>
    </row>
    <row r="45" spans="22:35" x14ac:dyDescent="0.4">
      <c r="AH45" s="1"/>
      <c r="AI45" s="1"/>
    </row>
    <row r="47" spans="22:35" x14ac:dyDescent="0.4">
      <c r="X47" s="1"/>
      <c r="Y47" s="1"/>
      <c r="AC47" s="1"/>
      <c r="AD47" s="1"/>
    </row>
    <row r="48" spans="22:35" x14ac:dyDescent="0.4">
      <c r="X48" s="1"/>
      <c r="Y48" s="1"/>
      <c r="AC48" s="1"/>
      <c r="AD48" s="1"/>
    </row>
    <row r="50" spans="24:35" x14ac:dyDescent="0.4">
      <c r="X50" s="1"/>
      <c r="Y50" s="1"/>
      <c r="AC50" s="1"/>
      <c r="AD50" s="1"/>
      <c r="AH50" s="1"/>
      <c r="AI50" s="1"/>
    </row>
    <row r="51" spans="24:35" x14ac:dyDescent="0.4">
      <c r="X51" s="1"/>
      <c r="Y51" s="1"/>
      <c r="AC51" s="1"/>
      <c r="AD51" s="1"/>
      <c r="AH51" s="1"/>
      <c r="AI51" s="1"/>
    </row>
  </sheetData>
  <phoneticPr fontId="1"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3" r:id="rId4" name="Button 13">
              <controlPr defaultSize="0" print="0" autoFill="0" autoPict="0" macro="[0]!initialize">
                <anchor moveWithCells="1">
                  <from>
                    <xdr:col>16</xdr:col>
                    <xdr:colOff>381000</xdr:colOff>
                    <xdr:row>2</xdr:row>
                    <xdr:rowOff>142875</xdr:rowOff>
                  </from>
                  <to>
                    <xdr:col>18</xdr:col>
                    <xdr:colOff>200025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5" name="Button 14">
              <controlPr defaultSize="0" print="0" autoFill="0" autoPict="0" macro="[0]!initialize_arrow_size">
                <anchor moveWithCells="1">
                  <from>
                    <xdr:col>16</xdr:col>
                    <xdr:colOff>381000</xdr:colOff>
                    <xdr:row>27</xdr:row>
                    <xdr:rowOff>0</xdr:rowOff>
                  </from>
                  <to>
                    <xdr:col>18</xdr:col>
                    <xdr:colOff>200025</xdr:colOff>
                    <xdr:row>28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6" name="Button 16">
              <controlPr defaultSize="0" print="0" autoFill="0" autoPict="0" macro="[0]!face1_right">
                <anchor moveWithCells="1" sizeWithCells="1">
                  <from>
                    <xdr:col>13</xdr:col>
                    <xdr:colOff>590550</xdr:colOff>
                    <xdr:row>42</xdr:row>
                    <xdr:rowOff>180975</xdr:rowOff>
                  </from>
                  <to>
                    <xdr:col>14</xdr:col>
                    <xdr:colOff>400050</xdr:colOff>
                    <xdr:row>44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7" name="Button 17">
              <controlPr defaultSize="0" print="0" autoFill="0" autoPict="0" macro="[0]!face1_left">
                <anchor moveWithCells="1" sizeWithCells="1">
                  <from>
                    <xdr:col>12</xdr:col>
                    <xdr:colOff>219075</xdr:colOff>
                    <xdr:row>42</xdr:row>
                    <xdr:rowOff>180975</xdr:rowOff>
                  </from>
                  <to>
                    <xdr:col>13</xdr:col>
                    <xdr:colOff>28575</xdr:colOff>
                    <xdr:row>44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8" name="Button 18">
              <controlPr defaultSize="0" print="0" autoFill="0" autoPict="0" macro="[0]!face1_up">
                <anchor moveWithCells="1" sizeWithCells="1">
                  <from>
                    <xdr:col>13</xdr:col>
                    <xdr:colOff>76200</xdr:colOff>
                    <xdr:row>40</xdr:row>
                    <xdr:rowOff>190500</xdr:rowOff>
                  </from>
                  <to>
                    <xdr:col>13</xdr:col>
                    <xdr:colOff>561975</xdr:colOff>
                    <xdr:row>42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9" name="Button 19">
              <controlPr defaultSize="0" print="0" autoFill="0" autoPict="0" macro="[0]!face1_down">
                <anchor moveWithCells="1" sizeWithCells="1">
                  <from>
                    <xdr:col>13</xdr:col>
                    <xdr:colOff>57150</xdr:colOff>
                    <xdr:row>44</xdr:row>
                    <xdr:rowOff>171450</xdr:rowOff>
                  </from>
                  <to>
                    <xdr:col>13</xdr:col>
                    <xdr:colOff>542925</xdr:colOff>
                    <xdr:row>46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0" r:id="rId10" name="Button 20">
              <controlPr defaultSize="0" print="0" autoFill="0" autoPict="0" macro="[0]!face1_reset">
                <anchor moveWithCells="1" sizeWithCells="1">
                  <from>
                    <xdr:col>13</xdr:col>
                    <xdr:colOff>66675</xdr:colOff>
                    <xdr:row>42</xdr:row>
                    <xdr:rowOff>180975</xdr:rowOff>
                  </from>
                  <to>
                    <xdr:col>13</xdr:col>
                    <xdr:colOff>552450</xdr:colOff>
                    <xdr:row>44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1" r:id="rId11" name="Button 21">
              <controlPr defaultSize="0" print="0" autoFill="0" autoPict="0" macro="[0]!face2_right">
                <anchor moveWithCells="1" sizeWithCells="1">
                  <from>
                    <xdr:col>2</xdr:col>
                    <xdr:colOff>647700</xdr:colOff>
                    <xdr:row>42</xdr:row>
                    <xdr:rowOff>180975</xdr:rowOff>
                  </from>
                  <to>
                    <xdr:col>3</xdr:col>
                    <xdr:colOff>447675</xdr:colOff>
                    <xdr:row>44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2" r:id="rId12" name="Button 22">
              <controlPr defaultSize="0" print="0" autoFill="0" autoPict="0" macro="[0]!face2_left">
                <anchor moveWithCells="1" sizeWithCells="1">
                  <from>
                    <xdr:col>1</xdr:col>
                    <xdr:colOff>276225</xdr:colOff>
                    <xdr:row>42</xdr:row>
                    <xdr:rowOff>180975</xdr:rowOff>
                  </from>
                  <to>
                    <xdr:col>2</xdr:col>
                    <xdr:colOff>76200</xdr:colOff>
                    <xdr:row>44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3" r:id="rId13" name="Button 23">
              <controlPr defaultSize="0" print="0" autoFill="0" autoPict="0" macro="[0]!face2_up">
                <anchor moveWithCells="1" sizeWithCells="1">
                  <from>
                    <xdr:col>2</xdr:col>
                    <xdr:colOff>123825</xdr:colOff>
                    <xdr:row>40</xdr:row>
                    <xdr:rowOff>190500</xdr:rowOff>
                  </from>
                  <to>
                    <xdr:col>2</xdr:col>
                    <xdr:colOff>609600</xdr:colOff>
                    <xdr:row>42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4" r:id="rId14" name="Button 24">
              <controlPr defaultSize="0" print="0" autoFill="0" autoPict="0" macro="[0]!face2_down">
                <anchor moveWithCells="1" sizeWithCells="1">
                  <from>
                    <xdr:col>2</xdr:col>
                    <xdr:colOff>114300</xdr:colOff>
                    <xdr:row>44</xdr:row>
                    <xdr:rowOff>171450</xdr:rowOff>
                  </from>
                  <to>
                    <xdr:col>2</xdr:col>
                    <xdr:colOff>600075</xdr:colOff>
                    <xdr:row>46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5" r:id="rId15" name="Button 25">
              <controlPr defaultSize="0" print="0" autoFill="0" autoPict="0" macro="[0]!face2_reset">
                <anchor moveWithCells="1" sizeWithCells="1">
                  <from>
                    <xdr:col>2</xdr:col>
                    <xdr:colOff>123825</xdr:colOff>
                    <xdr:row>42</xdr:row>
                    <xdr:rowOff>180975</xdr:rowOff>
                  </from>
                  <to>
                    <xdr:col>2</xdr:col>
                    <xdr:colOff>609600</xdr:colOff>
                    <xdr:row>44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6" r:id="rId16" name="Button 26">
              <controlPr defaultSize="0" print="0" autoFill="0" autoPict="0" macro="[0]!face3_right">
                <anchor moveWithCells="1" sizeWithCells="1">
                  <from>
                    <xdr:col>11</xdr:col>
                    <xdr:colOff>600075</xdr:colOff>
                    <xdr:row>3</xdr:row>
                    <xdr:rowOff>200025</xdr:rowOff>
                  </from>
                  <to>
                    <xdr:col>12</xdr:col>
                    <xdr:colOff>400050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7" r:id="rId17" name="Button 27">
              <controlPr defaultSize="0" print="0" autoFill="0" autoPict="0" macro="[0]!face3_left">
                <anchor moveWithCells="1" sizeWithCells="1">
                  <from>
                    <xdr:col>10</xdr:col>
                    <xdr:colOff>228600</xdr:colOff>
                    <xdr:row>3</xdr:row>
                    <xdr:rowOff>200025</xdr:rowOff>
                  </from>
                  <to>
                    <xdr:col>11</xdr:col>
                    <xdr:colOff>28575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8" r:id="rId18" name="Button 28">
              <controlPr defaultSize="0" print="0" autoFill="0" autoPict="0" macro="[0]!face3_up">
                <anchor moveWithCells="1" sizeWithCells="1">
                  <from>
                    <xdr:col>11</xdr:col>
                    <xdr:colOff>76200</xdr:colOff>
                    <xdr:row>1</xdr:row>
                    <xdr:rowOff>219075</xdr:rowOff>
                  </from>
                  <to>
                    <xdr:col>11</xdr:col>
                    <xdr:colOff>561975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9" r:id="rId19" name="Button 29">
              <controlPr defaultSize="0" print="0" autoFill="0" autoPict="0" macro="[0]!face3_down">
                <anchor moveWithCells="1" sizeWithCells="1">
                  <from>
                    <xdr:col>11</xdr:col>
                    <xdr:colOff>66675</xdr:colOff>
                    <xdr:row>5</xdr:row>
                    <xdr:rowOff>190500</xdr:rowOff>
                  </from>
                  <to>
                    <xdr:col>11</xdr:col>
                    <xdr:colOff>552450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0" r:id="rId20" name="Button 30">
              <controlPr defaultSize="0" print="0" autoFill="0" autoPict="0" macro="[0]!face3_reset">
                <anchor moveWithCells="1" sizeWithCells="1">
                  <from>
                    <xdr:col>11</xdr:col>
                    <xdr:colOff>76200</xdr:colOff>
                    <xdr:row>3</xdr:row>
                    <xdr:rowOff>200025</xdr:rowOff>
                  </from>
                  <to>
                    <xdr:col>11</xdr:col>
                    <xdr:colOff>561975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1" r:id="rId21" name="Button 31">
              <controlPr defaultSize="0" print="0" autoFill="0" autoPict="0" macro="[0]!switch_face">
                <anchor moveWithCells="1">
                  <from>
                    <xdr:col>16</xdr:col>
                    <xdr:colOff>180975</xdr:colOff>
                    <xdr:row>43</xdr:row>
                    <xdr:rowOff>161925</xdr:rowOff>
                  </from>
                  <to>
                    <xdr:col>18</xdr:col>
                    <xdr:colOff>342900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2" r:id="rId22" name="Button 32">
              <controlPr defaultSize="0" print="0" autoFill="0" autoPict="0" macro="[0]!switch_color">
                <anchor moveWithCells="1">
                  <from>
                    <xdr:col>16</xdr:col>
                    <xdr:colOff>180975</xdr:colOff>
                    <xdr:row>47</xdr:row>
                    <xdr:rowOff>47625</xdr:rowOff>
                  </from>
                  <to>
                    <xdr:col>18</xdr:col>
                    <xdr:colOff>342900</xdr:colOff>
                    <xdr:row>48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3" r:id="rId23" name="Button 33">
              <controlPr defaultSize="0" print="0" autoFill="0" autoPict="0" macro="[0]!switch_ContourWidth">
                <anchor moveWithCells="1">
                  <from>
                    <xdr:col>16</xdr:col>
                    <xdr:colOff>180975</xdr:colOff>
                    <xdr:row>45</xdr:row>
                    <xdr:rowOff>104775</xdr:rowOff>
                  </from>
                  <to>
                    <xdr:col>18</xdr:col>
                    <xdr:colOff>342900</xdr:colOff>
                    <xdr:row>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4" r:id="rId24" name="Button 34">
              <controlPr defaultSize="0" print="0" autoFill="0" autoPict="0" macro="[0]!switch_transparency">
                <anchor moveWithCells="1">
                  <from>
                    <xdr:col>16</xdr:col>
                    <xdr:colOff>180975</xdr:colOff>
                    <xdr:row>48</xdr:row>
                    <xdr:rowOff>238125</xdr:rowOff>
                  </from>
                  <to>
                    <xdr:col>18</xdr:col>
                    <xdr:colOff>342900</xdr:colOff>
                    <xdr:row>50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5" r:id="rId25" name="Button 35">
              <controlPr defaultSize="0" print="0" autoFill="0" autoPict="0" macro="[0]!switch_shapetype">
                <anchor moveWithCells="1">
                  <from>
                    <xdr:col>16</xdr:col>
                    <xdr:colOff>180975</xdr:colOff>
                    <xdr:row>41</xdr:row>
                    <xdr:rowOff>95250</xdr:rowOff>
                  </from>
                  <to>
                    <xdr:col>18</xdr:col>
                    <xdr:colOff>342900</xdr:colOff>
                    <xdr:row>42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6" r:id="rId26" name="Button 36">
              <controlPr defaultSize="0" print="0" autoFill="0" autoPict="0" macro="[0]!switch_core_visible">
                <anchor moveWithCells="1">
                  <from>
                    <xdr:col>16</xdr:col>
                    <xdr:colOff>180975</xdr:colOff>
                    <xdr:row>51</xdr:row>
                    <xdr:rowOff>95250</xdr:rowOff>
                  </from>
                  <to>
                    <xdr:col>18</xdr:col>
                    <xdr:colOff>342900</xdr:colOff>
                    <xdr:row>52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7" r:id="rId27" name="Button 37">
              <controlPr defaultSize="0" print="0" autoFill="0" autoPict="0" macro="[0]!to_front">
                <anchor moveWithCells="1">
                  <from>
                    <xdr:col>0</xdr:col>
                    <xdr:colOff>0</xdr:colOff>
                    <xdr:row>6</xdr:row>
                    <xdr:rowOff>190500</xdr:rowOff>
                  </from>
                  <to>
                    <xdr:col>2</xdr:col>
                    <xdr:colOff>609600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8" r:id="rId28" name="Button 38">
              <controlPr defaultSize="0" print="0" autoFill="0" autoPict="0" macro="[0]!to_back">
                <anchor moveWithCells="1">
                  <from>
                    <xdr:col>0</xdr:col>
                    <xdr:colOff>0</xdr:colOff>
                    <xdr:row>9</xdr:row>
                    <xdr:rowOff>104775</xdr:rowOff>
                  </from>
                  <to>
                    <xdr:col>2</xdr:col>
                    <xdr:colOff>609600</xdr:colOff>
                    <xdr:row>10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80E2E-1DCF-4AC6-AB23-EE3045E13AEC}">
  <sheetPr codeName="Sheet1"/>
  <dimension ref="H3:M28"/>
  <sheetViews>
    <sheetView workbookViewId="0"/>
  </sheetViews>
  <sheetFormatPr defaultRowHeight="18.75" x14ac:dyDescent="0.4"/>
  <sheetData>
    <row r="3" spans="13:13" x14ac:dyDescent="0.4">
      <c r="M3" t="s">
        <v>8</v>
      </c>
    </row>
    <row r="27" spans="8:8" x14ac:dyDescent="0.4">
      <c r="H27" t="s">
        <v>6</v>
      </c>
    </row>
    <row r="28" spans="8:8" x14ac:dyDescent="0.4">
      <c r="H28" t="s">
        <v>7</v>
      </c>
    </row>
  </sheetData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DFF8A-7054-4ADD-BD3D-5ED1DE36B34E}">
  <sheetPr codeName="Sheet2"/>
  <dimension ref="A1:B4"/>
  <sheetViews>
    <sheetView workbookViewId="0"/>
  </sheetViews>
  <sheetFormatPr defaultRowHeight="18.75" x14ac:dyDescent="0.4"/>
  <cols>
    <col min="1" max="1" width="10.25" bestFit="1" customWidth="1"/>
    <col min="2" max="2" width="96.125" customWidth="1"/>
  </cols>
  <sheetData>
    <row r="1" spans="1:2" x14ac:dyDescent="0.4">
      <c r="A1" t="s">
        <v>19</v>
      </c>
      <c r="B1" t="s">
        <v>20</v>
      </c>
    </row>
    <row r="2" spans="1:2" x14ac:dyDescent="0.4">
      <c r="A2" s="11">
        <v>45188</v>
      </c>
      <c r="B2" t="s">
        <v>21</v>
      </c>
    </row>
    <row r="3" spans="1:2" x14ac:dyDescent="0.4">
      <c r="A3" s="11">
        <v>45189</v>
      </c>
      <c r="B3" t="s">
        <v>22</v>
      </c>
    </row>
    <row r="4" spans="1:2" x14ac:dyDescent="0.4">
      <c r="A4" s="11">
        <v>45192</v>
      </c>
      <c r="B4" t="s">
        <v>31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25</vt:i4>
      </vt:variant>
    </vt:vector>
  </HeadingPairs>
  <TitlesOfParts>
    <vt:vector size="28" baseType="lpstr">
      <vt:lpstr>角度合わせこみ</vt:lpstr>
      <vt:lpstr>マクロが動かない場合</vt:lpstr>
      <vt:lpstr>history</vt:lpstr>
      <vt:lpstr>arrow_depth</vt:lpstr>
      <vt:lpstr>arrow_length</vt:lpstr>
      <vt:lpstr>arrow_width</vt:lpstr>
      <vt:lpstr>degree1</vt:lpstr>
      <vt:lpstr>degree2</vt:lpstr>
      <vt:lpstr>degree3</vt:lpstr>
      <vt:lpstr>flag_lock</vt:lpstr>
      <vt:lpstr>hoseix1</vt:lpstr>
      <vt:lpstr>hoseix2</vt:lpstr>
      <vt:lpstr>hoseix3</vt:lpstr>
      <vt:lpstr>hoseiy1</vt:lpstr>
      <vt:lpstr>hoseiy2</vt:lpstr>
      <vt:lpstr>hoseiy3</vt:lpstr>
      <vt:lpstr>lock_degree1</vt:lpstr>
      <vt:lpstr>lock_degree2</vt:lpstr>
      <vt:lpstr>lock_degree3</vt:lpstr>
      <vt:lpstr>offsetx1</vt:lpstr>
      <vt:lpstr>offsetx2</vt:lpstr>
      <vt:lpstr>offsetx3</vt:lpstr>
      <vt:lpstr>offsety1</vt:lpstr>
      <vt:lpstr>offsety2</vt:lpstr>
      <vt:lpstr>offsety3</vt:lpstr>
      <vt:lpstr>rX</vt:lpstr>
      <vt:lpstr>rY</vt:lpstr>
      <vt:lpstr>rZ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Satoshi YAMAMOTO</cp:lastModifiedBy>
  <cp:revision/>
  <cp:lastPrinted>2023-09-20T06:26:25Z</cp:lastPrinted>
  <dcterms:created xsi:type="dcterms:W3CDTF">2023-07-27T23:51:01Z</dcterms:created>
  <dcterms:modified xsi:type="dcterms:W3CDTF">2023-09-23T06:53:12Z</dcterms:modified>
  <cp:category/>
  <cp:contentStatus/>
</cp:coreProperties>
</file>