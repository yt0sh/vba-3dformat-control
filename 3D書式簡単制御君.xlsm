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68ba72cd9f1556a/ドキュメント/"/>
    </mc:Choice>
  </mc:AlternateContent>
  <xr:revisionPtr revIDLastSave="229623" documentId="8_{0A34F9F7-7AE8-4DEE-B64A-A1AEDA49135A}" xr6:coauthVersionLast="47" xr6:coauthVersionMax="47" xr10:uidLastSave="{1E9F7FE3-D9A3-411B-8035-BA54FC6B98B6}"/>
  <bookViews>
    <workbookView xWindow="-120" yWindow="-120" windowWidth="29040" windowHeight="16440" tabRatio="257" xr2:uid="{760E6B1A-0F09-4968-9808-A3918262AC65}"/>
  </bookViews>
  <sheets>
    <sheet name="Sheet1" sheetId="4" r:id="rId1"/>
  </sheets>
  <definedNames>
    <definedName name="arrow_depth">Sheet1!$W$32</definedName>
    <definedName name="arrow_length">Sheet1!$W$30</definedName>
    <definedName name="arrow_width">Sheet1!$W$31</definedName>
    <definedName name="hoseix1">Sheet1!$W$7</definedName>
    <definedName name="hoseix2">Sheet1!$W$8</definedName>
    <definedName name="hoseix3">Sheet1!$W$9</definedName>
    <definedName name="hoseiy1">Sheet1!$X$7</definedName>
    <definedName name="hoseiy2">Sheet1!$X$8</definedName>
    <definedName name="hoseiy3">Sheet1!$X$9</definedName>
    <definedName name="offsetx1">Sheet1!$W$40</definedName>
    <definedName name="offsetx2">Sheet1!$W$41</definedName>
    <definedName name="offsetx3">Sheet1!$W$42</definedName>
    <definedName name="offsety1">Sheet1!$X$40</definedName>
    <definedName name="offsety2">Sheet1!$X$41</definedName>
    <definedName name="offsety3">Sheet1!$X$42</definedName>
    <definedName name="rX">Sheet1!$W$1</definedName>
    <definedName name="rY">Sheet1!$W$2</definedName>
    <definedName name="rZ">Sheet1!$W$3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" i="4" l="1"/>
  <c r="AB3" i="4"/>
  <c r="Z3" i="4"/>
  <c r="Y3" i="4"/>
  <c r="AG2" i="4"/>
  <c r="AF2" i="4"/>
  <c r="AD2" i="4"/>
  <c r="AC2" i="4"/>
  <c r="AG1" i="4" l="1"/>
  <c r="AE1" i="4"/>
  <c r="AA1" i="4"/>
  <c r="Y1" i="4"/>
  <c r="W9" i="4" l="1" a="1"/>
  <c r="W8" i="4" a="1"/>
  <c r="W7" i="4" a="1"/>
  <c r="W7" i="4" l="1"/>
  <c r="W12" i="4" s="1"/>
  <c r="X12" i="4"/>
  <c r="W8" i="4"/>
  <c r="W14" i="4" s="1"/>
  <c r="X14" i="4"/>
  <c r="W9" i="4"/>
  <c r="W16" i="4" s="1"/>
  <c r="X16" i="4"/>
  <c r="Z9" i="4" l="1"/>
  <c r="Z8" i="4"/>
  <c r="Z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<sst xmlns="http://schemas.openxmlformats.org/spreadsheetml/2006/main" count="19" uniqueCount="16">
  <si>
    <t>x</t>
    <phoneticPr fontId="1"/>
  </si>
  <si>
    <t>y</t>
    <phoneticPr fontId="1"/>
  </si>
  <si>
    <t>z</t>
    <phoneticPr fontId="1"/>
  </si>
  <si>
    <t>矢印幅</t>
    <rPh sb="0" eb="2">
      <t>ヤジルシ</t>
    </rPh>
    <rPh sb="2" eb="3">
      <t>ハバ</t>
    </rPh>
    <phoneticPr fontId="1"/>
  </si>
  <si>
    <t>矢印長さ</t>
    <rPh sb="0" eb="2">
      <t>ヤジルシ</t>
    </rPh>
    <rPh sb="2" eb="3">
      <t>ナガ</t>
    </rPh>
    <phoneticPr fontId="1"/>
  </si>
  <si>
    <t>矢印奥行き</t>
    <rPh sb="0" eb="2">
      <t>ヤジルシ</t>
    </rPh>
    <rPh sb="2" eb="4">
      <t>オクユ</t>
    </rPh>
    <phoneticPr fontId="1"/>
  </si>
  <si>
    <t>θx</t>
    <phoneticPr fontId="1"/>
  </si>
  <si>
    <t>θy</t>
    <phoneticPr fontId="1"/>
  </si>
  <si>
    <t>θz</t>
    <phoneticPr fontId="1"/>
  </si>
  <si>
    <t>二次元角度</t>
    <rPh sb="0" eb="3">
      <t>ニジゲン</t>
    </rPh>
    <rPh sb="3" eb="5">
      <t>カクド</t>
    </rPh>
    <phoneticPr fontId="1"/>
  </si>
  <si>
    <t>回転後X軸</t>
    <rPh sb="0" eb="2">
      <t>カイテン</t>
    </rPh>
    <rPh sb="2" eb="3">
      <t>ゴ</t>
    </rPh>
    <rPh sb="4" eb="5">
      <t>ジク</t>
    </rPh>
    <phoneticPr fontId="1"/>
  </si>
  <si>
    <t>回転後Y軸</t>
    <rPh sb="0" eb="2">
      <t>カイテン</t>
    </rPh>
    <rPh sb="2" eb="3">
      <t>ゴ</t>
    </rPh>
    <rPh sb="4" eb="5">
      <t>ジク</t>
    </rPh>
    <phoneticPr fontId="1"/>
  </si>
  <si>
    <t>回転後Z軸</t>
    <rPh sb="0" eb="3">
      <t>カイテンゴ</t>
    </rPh>
    <rPh sb="4" eb="5">
      <t>ジク</t>
    </rPh>
    <phoneticPr fontId="1"/>
  </si>
  <si>
    <t>face1オフセット</t>
    <phoneticPr fontId="1"/>
  </si>
  <si>
    <t>face2オフセット</t>
    <phoneticPr fontId="1"/>
  </si>
  <si>
    <t>face3オフセット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</si>
</sst>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"/>
    <numFmt numFmtId="177" formatCode="0.0&quot;°&quot;"/>
    <numFmt numFmtId="178" formatCode="0.???"/>
    <numFmt numFmtId="179" formatCode="0\°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 tint="0.499984740745262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22"/>
      <color rgb="FF000000"/>
      <name val="游ゴシック"/>
      <family val="3"/>
      <charset val="128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2" fillId="2" borderId="0" xfId="0" applyFont="1" applyFill="1">
      <alignment vertical="center"/>
    </xf>
    <xf numFmtId="178" fontId="0" fillId="0" borderId="0" xfId="0" applyNumberFormat="1">
      <alignment vertical="center"/>
    </xf>
    <xf numFmtId="177" fontId="4" fillId="0" borderId="0" xfId="0" applyNumberFormat="1" applyFont="1">
      <alignment vertical="center"/>
    </xf>
    <xf numFmtId="17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74B2FC"/>
      <color rgb="FF3BFF52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13856737592349E-2"/>
          <c:y val="8.1460164510954822E-2"/>
          <c:w val="0.89689564189356707"/>
          <c:h val="0.850673848388528"/>
        </c:manualLayout>
      </c:layout>
      <c:scatterChart>
        <c:scatterStyle val="lineMarker"/>
        <c:varyColors val="0"/>
        <c:ser>
          <c:idx val="2"/>
          <c:order val="0"/>
          <c:tx>
            <c:v>X</c:v>
          </c:tx>
          <c:spPr>
            <a:ln w="38100">
              <a:solidFill>
                <a:srgbClr val="FF000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Sheet1!$W$11:$W$12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0.86602482121736235</c:v>
                </c:pt>
              </c:numCache>
            </c:numRef>
          </c:xVal>
          <c:yVal>
            <c:numRef>
              <c:f>Sheet1!$X$11:$X$12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5.2264771638846942E-2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F-49FC-91AD-21D0AE8F2143}"/>
            </c:ext>
          </c:extLst>
        </c:ser>
        <c:ser>
          <c:idx val="0"/>
          <c:order val="1"/>
          <c:tx>
            <c:v>Y</c:v>
          </c:tx>
          <c:spPr>
            <a:ln w="38100">
              <a:solidFill>
                <a:srgbClr val="00B05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Sheet1!$W$13:$W$14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Sheet1!$X$13:$X$14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0.99452180402572399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4CF-49FC-91AD-21D0AE8F2143}"/>
            </c:ext>
          </c:extLst>
        </c:ser>
        <c:ser>
          <c:idx val="1"/>
          <c:order val="2"/>
          <c:tx>
            <c:v>Z</c:v>
          </c:tx>
          <c:spPr>
            <a:ln w="38100">
              <a:solidFill>
                <a:srgbClr val="0070C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Sheet1!$W$15:$W$16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0.50000100903441747</c:v>
                </c:pt>
              </c:numCache>
            </c:numRef>
          </c:xVal>
          <c:yVal>
            <c:numRef>
              <c:f>Sheet1!$X$15:$X$16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-9.0524996343323477E-2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4CF-49FC-91AD-21D0AE8F2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149376"/>
        <c:axId val="1987771984"/>
      </c:scatterChart>
      <c:valAx>
        <c:axId val="198514937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7771984"/>
        <c:crosses val="autoZero"/>
        <c:crossBetween val="midCat"/>
        <c:minorUnit val="0.5"/>
      </c:valAx>
      <c:valAx>
        <c:axId val="19877719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5149376"/>
        <c:crosses val="autoZero"/>
        <c:crossBetween val="midCat"/>
        <c:majorUnit val="1"/>
        <c:minorUnit val="0.5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21</xdr:row>
      <xdr:rowOff>79375</xdr:rowOff>
    </xdr:from>
    <xdr:to>
      <xdr:col>10</xdr:col>
      <xdr:colOff>468305</xdr:colOff>
      <xdr:row>31</xdr:row>
      <xdr:rowOff>27312</xdr:rowOff>
    </xdr:to>
    <xdr:sp macro="" textlink="">
      <xdr:nvSpPr>
        <xdr:cNvPr id="55" name="core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4445000" y="5080000"/>
          <a:ext cx="2881305" cy="23291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>
            <a:rot lat="360003" lon="19799996" rev="0"/>
          </a:camera>
          <a:lightRig rig="threePt" dir="t">
            <a:rot lat="0" lon="0" rev="2400000"/>
          </a:lightRig>
        </a:scene3d>
        <a:sp3d extrusionH="635000" contourW="31750">
          <a:contourClr>
            <a:schemeClr val="tx1">
              <a:lumMod val="50000"/>
              <a:lumOff val="50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143281</xdr:colOff>
      <xdr:row>33</xdr:row>
      <xdr:rowOff>26274</xdr:rowOff>
    </xdr:from>
    <xdr:to>
      <xdr:col>14</xdr:col>
      <xdr:colOff>295681</xdr:colOff>
      <xdr:row>35</xdr:row>
      <xdr:rowOff>185024</xdr:rowOff>
    </xdr:to>
    <xdr:sp macro="" textlink="">
      <xdr:nvSpPr>
        <xdr:cNvPr id="4" name="face1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372881" y="7884399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360003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440919</xdr:colOff>
      <xdr:row>33</xdr:row>
      <xdr:rowOff>132476</xdr:rowOff>
    </xdr:from>
    <xdr:to>
      <xdr:col>11</xdr:col>
      <xdr:colOff>593319</xdr:colOff>
      <xdr:row>36</xdr:row>
      <xdr:rowOff>53101</xdr:rowOff>
    </xdr:to>
    <xdr:sp macro="" textlink="">
      <xdr:nvSpPr>
        <xdr:cNvPr id="45" name="face1l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flipH="1">
          <a:off x="6613119" y="7990601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360003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393700</xdr:colOff>
      <xdr:row>27</xdr:row>
      <xdr:rowOff>53191</xdr:rowOff>
    </xdr:from>
    <xdr:to>
      <xdr:col>12</xdr:col>
      <xdr:colOff>342900</xdr:colOff>
      <xdr:row>33</xdr:row>
      <xdr:rowOff>148441</xdr:rowOff>
    </xdr:to>
    <xdr:sp macro="" textlink="">
      <xdr:nvSpPr>
        <xdr:cNvPr id="56" name="face1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937500" y="6482566"/>
          <a:ext cx="635000" cy="1524000"/>
        </a:xfrm>
        <a:prstGeom prst="upArrow">
          <a:avLst/>
        </a:prstGeom>
        <a:solidFill>
          <a:srgbClr val="3BFF52"/>
        </a:solidFill>
        <a:ln>
          <a:noFill/>
        </a:ln>
        <a:scene3d>
          <a:camera prst="orthographicFront">
            <a:rot lat="360003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393700</xdr:colOff>
      <xdr:row>35</xdr:row>
      <xdr:rowOff>169059</xdr:rowOff>
    </xdr:from>
    <xdr:to>
      <xdr:col>12</xdr:col>
      <xdr:colOff>342900</xdr:colOff>
      <xdr:row>42</xdr:row>
      <xdr:rowOff>26184</xdr:rowOff>
    </xdr:to>
    <xdr:sp macro="" textlink="">
      <xdr:nvSpPr>
        <xdr:cNvPr id="57" name="face1b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flipH="1">
          <a:off x="7937500" y="8503434"/>
          <a:ext cx="635000" cy="1524000"/>
        </a:xfrm>
        <a:prstGeom prst="downArrow">
          <a:avLst/>
        </a:prstGeom>
        <a:solidFill>
          <a:srgbClr val="3BFF52"/>
        </a:solidFill>
        <a:ln>
          <a:noFill/>
        </a:ln>
        <a:scene3d>
          <a:camera prst="orthographicFront">
            <a:rot lat="360003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228601</xdr:colOff>
      <xdr:row>33</xdr:row>
      <xdr:rowOff>171348</xdr:rowOff>
    </xdr:from>
    <xdr:to>
      <xdr:col>5</xdr:col>
      <xdr:colOff>381001</xdr:colOff>
      <xdr:row>36</xdr:row>
      <xdr:rowOff>91973</xdr:rowOff>
    </xdr:to>
    <xdr:sp macro="" textlink="">
      <xdr:nvSpPr>
        <xdr:cNvPr id="50" name="face2r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2286001" y="8029473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74B2FC"/>
        </a:solidFill>
        <a:ln>
          <a:noFill/>
        </a:ln>
        <a:scene3d>
          <a:camera prst="orthographicFront">
            <a:rot lat="21239996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584199</xdr:colOff>
      <xdr:row>32</xdr:row>
      <xdr:rowOff>225527</xdr:rowOff>
    </xdr:from>
    <xdr:to>
      <xdr:col>4</xdr:col>
      <xdr:colOff>50799</xdr:colOff>
      <xdr:row>35</xdr:row>
      <xdr:rowOff>146152</xdr:rowOff>
    </xdr:to>
    <xdr:sp macro="" textlink="">
      <xdr:nvSpPr>
        <xdr:cNvPr id="51" name="face2l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flipH="1">
          <a:off x="1269999" y="7845527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74B2FC"/>
        </a:solidFill>
        <a:ln>
          <a:noFill/>
        </a:ln>
        <a:scene3d>
          <a:camera prst="orthographicFront">
            <a:rot lat="21239996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165100</xdr:colOff>
      <xdr:row>35</xdr:row>
      <xdr:rowOff>169059</xdr:rowOff>
    </xdr:from>
    <xdr:to>
      <xdr:col>4</xdr:col>
      <xdr:colOff>114300</xdr:colOff>
      <xdr:row>42</xdr:row>
      <xdr:rowOff>26184</xdr:rowOff>
    </xdr:to>
    <xdr:sp macro="" textlink="">
      <xdr:nvSpPr>
        <xdr:cNvPr id="60" name="face2b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flipH="1">
          <a:off x="2222500" y="8503434"/>
          <a:ext cx="635000" cy="1524000"/>
        </a:xfrm>
        <a:prstGeom prst="upArrow">
          <a:avLst/>
        </a:prstGeom>
        <a:solidFill>
          <a:srgbClr val="3BFF52"/>
        </a:solidFill>
        <a:ln>
          <a:noFill/>
        </a:ln>
        <a:scene3d>
          <a:camera prst="orthographicFront">
            <a:rot lat="21239996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165100</xdr:colOff>
      <xdr:row>27</xdr:row>
      <xdr:rowOff>53191</xdr:rowOff>
    </xdr:from>
    <xdr:to>
      <xdr:col>4</xdr:col>
      <xdr:colOff>114300</xdr:colOff>
      <xdr:row>33</xdr:row>
      <xdr:rowOff>148441</xdr:rowOff>
    </xdr:to>
    <xdr:sp macro="" textlink="">
      <xdr:nvSpPr>
        <xdr:cNvPr id="61" name="face2t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222500" y="6482566"/>
          <a:ext cx="635000" cy="1524000"/>
        </a:xfrm>
        <a:prstGeom prst="downArrow">
          <a:avLst/>
        </a:prstGeom>
        <a:solidFill>
          <a:srgbClr val="3BFF52"/>
        </a:solidFill>
        <a:ln>
          <a:noFill/>
        </a:ln>
        <a:scene3d>
          <a:camera prst="orthographicFront">
            <a:rot lat="21239996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397281</xdr:colOff>
      <xdr:row>6</xdr:row>
      <xdr:rowOff>105649</xdr:rowOff>
    </xdr:from>
    <xdr:to>
      <xdr:col>9</xdr:col>
      <xdr:colOff>549681</xdr:colOff>
      <xdr:row>9</xdr:row>
      <xdr:rowOff>26274</xdr:rowOff>
    </xdr:to>
    <xdr:sp macro="" textlink="">
      <xdr:nvSpPr>
        <xdr:cNvPr id="52" name="face3r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5197881" y="1534399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3567645" lon="15487725" rev="15584267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9119</xdr:colOff>
      <xdr:row>6</xdr:row>
      <xdr:rowOff>211851</xdr:rowOff>
    </xdr:from>
    <xdr:to>
      <xdr:col>7</xdr:col>
      <xdr:colOff>161519</xdr:colOff>
      <xdr:row>9</xdr:row>
      <xdr:rowOff>132476</xdr:rowOff>
    </xdr:to>
    <xdr:sp macro="" textlink="">
      <xdr:nvSpPr>
        <xdr:cNvPr id="53" name="face3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flipH="1">
          <a:off x="3438119" y="1640601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3567645" lon="15487725" rev="15584267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469901</xdr:colOff>
      <xdr:row>5</xdr:row>
      <xdr:rowOff>44348</xdr:rowOff>
    </xdr:from>
    <xdr:to>
      <xdr:col>8</xdr:col>
      <xdr:colOff>419101</xdr:colOff>
      <xdr:row>11</xdr:row>
      <xdr:rowOff>139598</xdr:rowOff>
    </xdr:to>
    <xdr:sp macro="" textlink="">
      <xdr:nvSpPr>
        <xdr:cNvPr id="58" name="face3b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270501" y="1234973"/>
          <a:ext cx="635000" cy="1524000"/>
        </a:xfrm>
        <a:prstGeom prst="upArrow">
          <a:avLst/>
        </a:prstGeom>
        <a:solidFill>
          <a:srgbClr val="74B2FC"/>
        </a:solidFill>
        <a:ln>
          <a:noFill/>
        </a:ln>
        <a:scene3d>
          <a:camera prst="orthographicFront">
            <a:rot lat="3567645" lon="15487725" rev="15584267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139699</xdr:colOff>
      <xdr:row>4</xdr:row>
      <xdr:rowOff>98527</xdr:rowOff>
    </xdr:from>
    <xdr:to>
      <xdr:col>7</xdr:col>
      <xdr:colOff>88899</xdr:colOff>
      <xdr:row>10</xdr:row>
      <xdr:rowOff>193777</xdr:rowOff>
    </xdr:to>
    <xdr:sp macro="" textlink="">
      <xdr:nvSpPr>
        <xdr:cNvPr id="59" name="face3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flipH="1">
          <a:off x="4254499" y="1051027"/>
          <a:ext cx="635000" cy="1524000"/>
        </a:xfrm>
        <a:prstGeom prst="downArrow">
          <a:avLst/>
        </a:prstGeom>
        <a:solidFill>
          <a:srgbClr val="74B2FC"/>
        </a:solidFill>
        <a:ln>
          <a:noFill/>
        </a:ln>
        <a:scene3d>
          <a:camera prst="orthographicFront">
            <a:rot lat="3567645" lon="15487725" rev="15584267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611083</xdr:colOff>
      <xdr:row>9</xdr:row>
      <xdr:rowOff>153390</xdr:rowOff>
    </xdr:from>
    <xdr:to>
      <xdr:col>26</xdr:col>
      <xdr:colOff>253029</xdr:colOff>
      <xdr:row>24</xdr:row>
      <xdr:rowOff>213882</xdr:rowOff>
    </xdr:to>
    <xdr:graphicFrame macro="">
      <xdr:nvGraphicFramePr>
        <xdr:cNvPr id="5168" name="graph">
          <a:extLst>
            <a:ext uri="{FF2B5EF4-FFF2-40B4-BE49-F238E27FC236}">
              <a16:creationId xmlns:a16="http://schemas.microsoft.com/office/drawing/2014/main" id="{00000000-0008-0000-0000-000030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379485</xdr:colOff>
          <xdr:row>2</xdr:row>
          <xdr:rowOff>138544</xdr:rowOff>
        </xdr:from>
        <xdr:to>
          <xdr:col>18</xdr:col>
          <xdr:colOff>201107</xdr:colOff>
          <xdr:row>3</xdr:row>
          <xdr:rowOff>224269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角度 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379485</xdr:colOff>
          <xdr:row>27</xdr:row>
          <xdr:rowOff>0</xdr:rowOff>
        </xdr:from>
        <xdr:to>
          <xdr:col>18</xdr:col>
          <xdr:colOff>201107</xdr:colOff>
          <xdr:row>28</xdr:row>
          <xdr:rowOff>85725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矢印 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220400</xdr:colOff>
          <xdr:row>40</xdr:row>
          <xdr:rowOff>192145</xdr:rowOff>
        </xdr:from>
        <xdr:to>
          <xdr:col>14</xdr:col>
          <xdr:colOff>395455</xdr:colOff>
          <xdr:row>46</xdr:row>
          <xdr:rowOff>105165</xdr:rowOff>
        </xdr:to>
        <xdr:grpSp>
          <xdr:nvGrpSpPr>
            <xdr:cNvPr id="10" name="グループ化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8533127" y="9890327"/>
              <a:ext cx="1560510" cy="1367747"/>
              <a:chOff x="10111720" y="8879134"/>
              <a:chExt cx="1832722" cy="1583647"/>
            </a:xfrm>
          </xdr:grpSpPr>
          <xdr:sp macro="" textlink="">
            <xdr:nvSpPr>
              <xdr:cNvPr id="5136" name="Button 16" hidden="1">
                <a:extLst>
                  <a:ext uri="{63B3BB69-23CF-44E3-9099-C40C66FF867C}">
                    <a14:compatExt spid="_x0000_s5136"/>
                  </a:ext>
                  <a:ext uri="{FF2B5EF4-FFF2-40B4-BE49-F238E27FC236}">
                    <a16:creationId xmlns:a16="http://schemas.microsoft.com/office/drawing/2014/main" id="{00000000-0008-0000-0000-000010140000}"/>
                  </a:ext>
                </a:extLst>
              </xdr:cNvPr>
              <xdr:cNvSpPr/>
            </xdr:nvSpPr>
            <xdr:spPr bwMode="auto">
              <a:xfrm>
                <a:off x="11365627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37" name="Button 17" hidden="1">
                <a:extLst>
                  <a:ext uri="{63B3BB69-23CF-44E3-9099-C40C66FF867C}">
                    <a14:compatExt spid="_x0000_s5137"/>
                  </a:ext>
                  <a:ext uri="{FF2B5EF4-FFF2-40B4-BE49-F238E27FC236}">
                    <a16:creationId xmlns:a16="http://schemas.microsoft.com/office/drawing/2014/main" id="{00000000-0008-0000-0000-000011140000}"/>
                  </a:ext>
                </a:extLst>
              </xdr:cNvPr>
              <xdr:cNvSpPr/>
            </xdr:nvSpPr>
            <xdr:spPr bwMode="auto">
              <a:xfrm>
                <a:off x="10111720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9" name="グループ化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GrpSpPr/>
            </xdr:nvGrpSpPr>
            <xdr:grpSpPr>
              <a:xfrm>
                <a:off x="10728819" y="8879134"/>
                <a:ext cx="598522" cy="1583647"/>
                <a:chOff x="10721696" y="8879134"/>
                <a:chExt cx="598522" cy="1583647"/>
              </a:xfrm>
            </xdr:grpSpPr>
            <xdr:sp macro="" textlink="">
              <xdr:nvSpPr>
                <xdr:cNvPr id="5138" name="Button 18" hidden="1">
                  <a:extLst>
                    <a:ext uri="{63B3BB69-23CF-44E3-9099-C40C66FF867C}">
                      <a14:compatExt spid="_x0000_s5138"/>
                    </a:ext>
                    <a:ext uri="{FF2B5EF4-FFF2-40B4-BE49-F238E27FC236}">
                      <a16:creationId xmlns:a16="http://schemas.microsoft.com/office/drawing/2014/main" id="{00000000-0008-0000-0000-000012140000}"/>
                    </a:ext>
                  </a:extLst>
                </xdr:cNvPr>
                <xdr:cNvSpPr/>
              </xdr:nvSpPr>
              <xdr:spPr bwMode="auto">
                <a:xfrm>
                  <a:off x="10741402" y="8879134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39" name="Button 19" hidden="1">
                  <a:extLst>
                    <a:ext uri="{63B3BB69-23CF-44E3-9099-C40C66FF867C}">
                      <a14:compatExt spid="_x0000_s5139"/>
                    </a:ext>
                    <a:ext uri="{FF2B5EF4-FFF2-40B4-BE49-F238E27FC236}">
                      <a16:creationId xmlns:a16="http://schemas.microsoft.com/office/drawing/2014/main" id="{00000000-0008-0000-0000-000013140000}"/>
                    </a:ext>
                  </a:extLst>
                </xdr:cNvPr>
                <xdr:cNvSpPr/>
              </xdr:nvSpPr>
              <xdr:spPr bwMode="auto">
                <a:xfrm>
                  <a:off x="10721696" y="9975673"/>
                  <a:ext cx="578816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40" name="Button 20" hidden="1">
                  <a:extLst>
                    <a:ext uri="{63B3BB69-23CF-44E3-9099-C40C66FF867C}">
                      <a14:compatExt spid="_x0000_s5140"/>
                    </a:ext>
                    <a:ext uri="{FF2B5EF4-FFF2-40B4-BE49-F238E27FC236}">
                      <a16:creationId xmlns:a16="http://schemas.microsoft.com/office/drawing/2014/main" id="{00000000-0008-0000-0000-000014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274520</xdr:colOff>
          <xdr:row>40</xdr:row>
          <xdr:rowOff>192145</xdr:rowOff>
        </xdr:from>
        <xdr:to>
          <xdr:col>3</xdr:col>
          <xdr:colOff>449575</xdr:colOff>
          <xdr:row>46</xdr:row>
          <xdr:rowOff>105165</xdr:rowOff>
        </xdr:to>
        <xdr:grpSp>
          <xdr:nvGrpSpPr>
            <xdr:cNvPr id="11" name="グループ化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pSpPr/>
          </xdr:nvGrpSpPr>
          <xdr:grpSpPr>
            <a:xfrm>
              <a:off x="967247" y="9890327"/>
              <a:ext cx="1560510" cy="1367747"/>
              <a:chOff x="10111720" y="8879134"/>
              <a:chExt cx="1832722" cy="1583647"/>
            </a:xfrm>
          </xdr:grpSpPr>
          <xdr:sp macro="" textlink="">
            <xdr:nvSpPr>
              <xdr:cNvPr id="5141" name="Button 21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000-000015140000}"/>
                  </a:ext>
                </a:extLst>
              </xdr:cNvPr>
              <xdr:cNvSpPr/>
            </xdr:nvSpPr>
            <xdr:spPr bwMode="auto">
              <a:xfrm>
                <a:off x="11365627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42" name="Button 22" hidden="1">
                <a:extLst>
                  <a:ext uri="{63B3BB69-23CF-44E3-9099-C40C66FF867C}">
                    <a14:compatExt spid="_x0000_s5142"/>
                  </a:ext>
                  <a:ext uri="{FF2B5EF4-FFF2-40B4-BE49-F238E27FC236}">
                    <a16:creationId xmlns:a16="http://schemas.microsoft.com/office/drawing/2014/main" id="{00000000-0008-0000-0000-000016140000}"/>
                  </a:ext>
                </a:extLst>
              </xdr:cNvPr>
              <xdr:cNvSpPr/>
            </xdr:nvSpPr>
            <xdr:spPr bwMode="auto">
              <a:xfrm>
                <a:off x="10111720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12" name="グループ化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GrpSpPr/>
            </xdr:nvGrpSpPr>
            <xdr:grpSpPr>
              <a:xfrm>
                <a:off x="10728819" y="8879134"/>
                <a:ext cx="598522" cy="1583647"/>
                <a:chOff x="10721696" y="8879134"/>
                <a:chExt cx="598522" cy="1583647"/>
              </a:xfrm>
            </xdr:grpSpPr>
            <xdr:sp macro="" textlink="">
              <xdr:nvSpPr>
                <xdr:cNvPr id="5143" name="Button 23" hidden="1">
                  <a:extLst>
                    <a:ext uri="{63B3BB69-23CF-44E3-9099-C40C66FF867C}">
                      <a14:compatExt spid="_x0000_s5143"/>
                    </a:ext>
                    <a:ext uri="{FF2B5EF4-FFF2-40B4-BE49-F238E27FC236}">
                      <a16:creationId xmlns:a16="http://schemas.microsoft.com/office/drawing/2014/main" id="{00000000-0008-0000-0000-000017140000}"/>
                    </a:ext>
                  </a:extLst>
                </xdr:cNvPr>
                <xdr:cNvSpPr/>
              </xdr:nvSpPr>
              <xdr:spPr bwMode="auto">
                <a:xfrm>
                  <a:off x="10741402" y="8879134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44" name="Button 24" hidden="1">
                  <a:extLst>
                    <a:ext uri="{63B3BB69-23CF-44E3-9099-C40C66FF867C}">
                      <a14:compatExt spid="_x0000_s5144"/>
                    </a:ext>
                    <a:ext uri="{FF2B5EF4-FFF2-40B4-BE49-F238E27FC236}">
                      <a16:creationId xmlns:a16="http://schemas.microsoft.com/office/drawing/2014/main" id="{00000000-0008-0000-0000-000018140000}"/>
                    </a:ext>
                  </a:extLst>
                </xdr:cNvPr>
                <xdr:cNvSpPr/>
              </xdr:nvSpPr>
              <xdr:spPr bwMode="auto">
                <a:xfrm>
                  <a:off x="10721696" y="9975673"/>
                  <a:ext cx="578816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45" name="Button 25" hidden="1">
                  <a:extLst>
                    <a:ext uri="{63B3BB69-23CF-44E3-9099-C40C66FF867C}">
                      <a14:compatExt spid="_x0000_s5145"/>
                    </a:ext>
                    <a:ext uri="{FF2B5EF4-FFF2-40B4-BE49-F238E27FC236}">
                      <a16:creationId xmlns:a16="http://schemas.microsoft.com/office/drawing/2014/main" id="{00000000-0008-0000-0000-000019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226891</xdr:colOff>
          <xdr:row>1</xdr:row>
          <xdr:rowOff>215957</xdr:rowOff>
        </xdr:from>
        <xdr:to>
          <xdr:col>12</xdr:col>
          <xdr:colOff>401951</xdr:colOff>
          <xdr:row>7</xdr:row>
          <xdr:rowOff>128977</xdr:rowOff>
        </xdr:to>
        <xdr:grpSp>
          <xdr:nvGrpSpPr>
            <xdr:cNvPr id="13" name="グループ化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GrpSpPr/>
          </xdr:nvGrpSpPr>
          <xdr:grpSpPr>
            <a:xfrm>
              <a:off x="7154164" y="458412"/>
              <a:ext cx="1560514" cy="1367747"/>
              <a:chOff x="10111716" y="8879134"/>
              <a:chExt cx="1832728" cy="1583647"/>
            </a:xfrm>
          </xdr:grpSpPr>
          <xdr:sp macro="" textlink="">
            <xdr:nvSpPr>
              <xdr:cNvPr id="5146" name="Button 26" hidden="1">
                <a:extLst>
                  <a:ext uri="{63B3BB69-23CF-44E3-9099-C40C66FF867C}">
                    <a14:compatExt spid="_x0000_s5146"/>
                  </a:ext>
                  <a:ext uri="{FF2B5EF4-FFF2-40B4-BE49-F238E27FC236}">
                    <a16:creationId xmlns:a16="http://schemas.microsoft.com/office/drawing/2014/main" id="{00000000-0008-0000-0000-00001A140000}"/>
                  </a:ext>
                </a:extLst>
              </xdr:cNvPr>
              <xdr:cNvSpPr/>
            </xdr:nvSpPr>
            <xdr:spPr bwMode="auto">
              <a:xfrm>
                <a:off x="11365629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47" name="Button 27" hidden="1">
                <a:extLst>
                  <a:ext uri="{63B3BB69-23CF-44E3-9099-C40C66FF867C}">
                    <a14:compatExt spid="_x0000_s5147"/>
                  </a:ext>
                  <a:ext uri="{FF2B5EF4-FFF2-40B4-BE49-F238E27FC236}">
                    <a16:creationId xmlns:a16="http://schemas.microsoft.com/office/drawing/2014/main" id="{00000000-0008-0000-0000-00001B140000}"/>
                  </a:ext>
                </a:extLst>
              </xdr:cNvPr>
              <xdr:cNvSpPr/>
            </xdr:nvSpPr>
            <xdr:spPr bwMode="auto">
              <a:xfrm>
                <a:off x="10111716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14" name="グループ化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GrpSpPr/>
            </xdr:nvGrpSpPr>
            <xdr:grpSpPr>
              <a:xfrm>
                <a:off x="10728819" y="8879134"/>
                <a:ext cx="598522" cy="1583647"/>
                <a:chOff x="10721696" y="8879134"/>
                <a:chExt cx="598522" cy="1583647"/>
              </a:xfrm>
            </xdr:grpSpPr>
            <xdr:sp macro="" textlink="">
              <xdr:nvSpPr>
                <xdr:cNvPr id="5148" name="Button 28" hidden="1">
                  <a:extLst>
                    <a:ext uri="{63B3BB69-23CF-44E3-9099-C40C66FF867C}">
                      <a14:compatExt spid="_x0000_s5148"/>
                    </a:ext>
                    <a:ext uri="{FF2B5EF4-FFF2-40B4-BE49-F238E27FC236}">
                      <a16:creationId xmlns:a16="http://schemas.microsoft.com/office/drawing/2014/main" id="{00000000-0008-0000-0000-00001C140000}"/>
                    </a:ext>
                  </a:extLst>
                </xdr:cNvPr>
                <xdr:cNvSpPr/>
              </xdr:nvSpPr>
              <xdr:spPr bwMode="auto">
                <a:xfrm>
                  <a:off x="10741402" y="8879134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49" name="Button 29" hidden="1">
                  <a:extLst>
                    <a:ext uri="{63B3BB69-23CF-44E3-9099-C40C66FF867C}">
                      <a14:compatExt spid="_x0000_s5149"/>
                    </a:ext>
                    <a:ext uri="{FF2B5EF4-FFF2-40B4-BE49-F238E27FC236}">
                      <a16:creationId xmlns:a16="http://schemas.microsoft.com/office/drawing/2014/main" id="{00000000-0008-0000-0000-00001D140000}"/>
                    </a:ext>
                  </a:extLst>
                </xdr:cNvPr>
                <xdr:cNvSpPr/>
              </xdr:nvSpPr>
              <xdr:spPr bwMode="auto">
                <a:xfrm>
                  <a:off x="10721696" y="9975673"/>
                  <a:ext cx="578816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50" name="Button 30" hidden="1">
                  <a:extLst>
                    <a:ext uri="{63B3BB69-23CF-44E3-9099-C40C66FF867C}">
                      <a14:compatExt spid="_x0000_s5150"/>
                    </a:ext>
                    <a:ext uri="{FF2B5EF4-FFF2-40B4-BE49-F238E27FC236}">
                      <a16:creationId xmlns:a16="http://schemas.microsoft.com/office/drawing/2014/main" id="{00000000-0008-0000-0000-00001E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xdr:twoCellAnchor>
    <xdr:from>
      <xdr:col>15</xdr:col>
      <xdr:colOff>272977</xdr:colOff>
      <xdr:row>28</xdr:row>
      <xdr:rowOff>207819</xdr:rowOff>
    </xdr:from>
    <xdr:to>
      <xdr:col>19</xdr:col>
      <xdr:colOff>307614</xdr:colOff>
      <xdr:row>37</xdr:row>
      <xdr:rowOff>155864</xdr:rowOff>
    </xdr:to>
    <xdr:grpSp>
      <xdr:nvGrpSpPr>
        <xdr:cNvPr id="25" name="グループ化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63886" y="6996546"/>
          <a:ext cx="2805546" cy="2130136"/>
          <a:chOff x="10719954" y="6996546"/>
          <a:chExt cx="2805546" cy="2130136"/>
        </a:xfrm>
      </xdr:grpSpPr>
      <xdr:grpSp>
        <xdr:nvGrpSpPr>
          <xdr:cNvPr id="22" name="グループ化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GrpSpPr/>
        </xdr:nvGrpSpPr>
        <xdr:grpSpPr>
          <a:xfrm>
            <a:off x="10719954" y="6996546"/>
            <a:ext cx="2805546" cy="519545"/>
            <a:chOff x="10719954" y="6996546"/>
            <a:chExt cx="2805546" cy="519545"/>
          </a:xfrm>
        </xdr:grpSpPr>
        <xdr:sp macro="[0]!arrrow_length_up" textlink="">
          <xdr:nvSpPr>
            <xdr:cNvPr id="16" name="四角形: 角を丸くする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0719954" y="6996546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長く</a:t>
              </a:r>
            </a:p>
          </xdr:txBody>
        </xdr:sp>
        <xdr:sp macro="[0]!arrrow_length_down" textlink="">
          <xdr:nvSpPr>
            <xdr:cNvPr id="17" name="四角形: 角を丸くする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2261272" y="6996546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短く</a:t>
              </a:r>
            </a:p>
          </xdr:txBody>
        </xdr:sp>
      </xdr:grpSp>
      <xdr:grpSp>
        <xdr:nvGrpSpPr>
          <xdr:cNvPr id="23" name="グループ化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10719954" y="7801841"/>
            <a:ext cx="2805546" cy="519545"/>
            <a:chOff x="10719954" y="7827819"/>
            <a:chExt cx="2805546" cy="519545"/>
          </a:xfrm>
        </xdr:grpSpPr>
        <xdr:sp macro="[0]!arrrow_width_up" textlink="">
          <xdr:nvSpPr>
            <xdr:cNvPr id="18" name="四角形: 角を丸くする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10719954" y="7827819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太く</a:t>
              </a:r>
            </a:p>
          </xdr:txBody>
        </xdr:sp>
        <xdr:sp macro="[0]!arrrow_width_down" textlink="">
          <xdr:nvSpPr>
            <xdr:cNvPr id="19" name="四角形: 角を丸くする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12261272" y="7827819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細く</a:t>
              </a:r>
            </a:p>
          </xdr:txBody>
        </xdr:sp>
      </xdr:grpSp>
      <xdr:grpSp>
        <xdr:nvGrpSpPr>
          <xdr:cNvPr id="24" name="グループ化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10719954" y="8607137"/>
            <a:ext cx="2805546" cy="519545"/>
            <a:chOff x="10719954" y="8607137"/>
            <a:chExt cx="2805546" cy="519545"/>
          </a:xfrm>
        </xdr:grpSpPr>
        <xdr:sp macro="[0]!arrrow_depth_up" textlink="">
          <xdr:nvSpPr>
            <xdr:cNvPr id="20" name="四角形: 角を丸くする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10719954" y="8607137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厚く</a:t>
              </a:r>
            </a:p>
          </xdr:txBody>
        </xdr:sp>
        <xdr:sp macro="[0]!arrrow_depth_down" textlink="">
          <xdr:nvSpPr>
            <xdr:cNvPr id="21" name="四角形: 角を丸くする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12261272" y="8607137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1917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薄く</a:t>
              </a:r>
            </a:p>
          </xdr:txBody>
        </xdr:sp>
      </xdr:grpSp>
    </xdr:grpSp>
    <xdr:clientData/>
  </xdr:twoCellAnchor>
  <xdr:twoCellAnchor>
    <xdr:from>
      <xdr:col>14</xdr:col>
      <xdr:colOff>678304</xdr:colOff>
      <xdr:row>4</xdr:row>
      <xdr:rowOff>154132</xdr:rowOff>
    </xdr:from>
    <xdr:to>
      <xdr:col>19</xdr:col>
      <xdr:colOff>595015</xdr:colOff>
      <xdr:row>19</xdr:row>
      <xdr:rowOff>155229</xdr:rowOff>
    </xdr:to>
    <xdr:grpSp>
      <xdr:nvGrpSpPr>
        <xdr:cNvPr id="35" name="グループ化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0376486" y="1123950"/>
          <a:ext cx="3380347" cy="3637915"/>
          <a:chOff x="9995486" y="1054677"/>
          <a:chExt cx="3380347" cy="3637915"/>
        </a:xfrm>
      </xdr:grpSpPr>
      <xdr:grpSp>
        <xdr:nvGrpSpPr>
          <xdr:cNvPr id="34" name="グループ化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9995486" y="1054677"/>
            <a:ext cx="3380347" cy="1019000"/>
            <a:chOff x="9995486" y="1054677"/>
            <a:chExt cx="3380347" cy="1019000"/>
          </a:xfrm>
        </xdr:grpSpPr>
        <xdr:pic macro="[0]!rotate_horizontal_minus">
          <xdr:nvPicPr>
            <xdr:cNvPr id="62" name="btn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568659" y="1054677"/>
              <a:ext cx="1001886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horizontal">
          <xdr:nvPicPr>
            <xdr:cNvPr id="63" name="btn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783718" y="1054677"/>
              <a:ext cx="1006572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horizontal_minus_bit">
          <xdr:nvPicPr>
            <xdr:cNvPr id="26" name="btn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95486" y="1379630"/>
              <a:ext cx="360000" cy="369094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horizontal_bit">
          <xdr:nvPicPr>
            <xdr:cNvPr id="27" name="btn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003463" y="1377364"/>
              <a:ext cx="372370" cy="37362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</xdr:grpSp>
      <xdr:grpSp>
        <xdr:nvGrpSpPr>
          <xdr:cNvPr id="33" name="グループ化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/>
        </xdr:nvGrpSpPr>
        <xdr:grpSpPr>
          <a:xfrm>
            <a:off x="9995486" y="2357207"/>
            <a:ext cx="3367977" cy="1032855"/>
            <a:chOff x="9995486" y="2661193"/>
            <a:chExt cx="3367977" cy="1032855"/>
          </a:xfrm>
        </xdr:grpSpPr>
        <xdr:pic macro="[0]!rotate_vertical_minus">
          <xdr:nvPicPr>
            <xdr:cNvPr id="5120" name="btn">
              <a:extLst>
                <a:ext uri="{FF2B5EF4-FFF2-40B4-BE49-F238E27FC236}">
                  <a16:creationId xmlns:a16="http://schemas.microsoft.com/office/drawing/2014/main" id="{00000000-0008-0000-0000-000000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568659" y="2661193"/>
              <a:ext cx="1001886" cy="103285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vertical">
          <xdr:nvPicPr>
            <xdr:cNvPr id="5126" name="btn">
              <a:extLs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1783718" y="2661193"/>
              <a:ext cx="1006572" cy="103285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vertical_minus_bit">
          <xdr:nvPicPr>
            <xdr:cNvPr id="28" name="btn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995486" y="2989961"/>
              <a:ext cx="360000" cy="37531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vertical_bit">
          <xdr:nvPicPr>
            <xdr:cNvPr id="29" name="btn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003463" y="2990857"/>
              <a:ext cx="360000" cy="37352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</xdr:grpSp>
      <xdr:grpSp>
        <xdr:nvGrpSpPr>
          <xdr:cNvPr id="32" name="グループ化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9995486" y="3673592"/>
            <a:ext cx="3367977" cy="1019000"/>
            <a:chOff x="9995486" y="4227773"/>
            <a:chExt cx="3367977" cy="1019000"/>
          </a:xfrm>
        </xdr:grpSpPr>
        <xdr:pic macro="[0]!rotate_z">
          <xdr:nvPicPr>
            <xdr:cNvPr id="5127" name="btn">
              <a:extLs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0568659" y="4227773"/>
              <a:ext cx="999645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z_minus">
          <xdr:nvPicPr>
            <xdr:cNvPr id="5129" name="btn">
              <a:extLs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1783718" y="4231135"/>
              <a:ext cx="1006572" cy="101227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z_minus_bit">
          <xdr:nvPicPr>
            <xdr:cNvPr id="30" name="btn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003463" y="4554236"/>
              <a:ext cx="360000" cy="36607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  <xdr:pic macro="[0]!rotate_z_bit">
          <xdr:nvPicPr>
            <xdr:cNvPr id="31" name="btn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995486" y="4551709"/>
              <a:ext cx="360000" cy="37112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1536700"/>
          </xdr:spPr>
        </xdr:pic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F155A-8E83-4935-95AB-3767FF73452C}">
  <sheetPr codeName="Sheet4"/>
  <dimension ref="V1:AI51"/>
  <sheetViews>
    <sheetView showGridLines="0" showRowColHeaders="0" tabSelected="1" zoomScale="55" zoomScaleNormal="55" workbookViewId="0">
      <selection activeCell="K48" sqref="K48"/>
    </sheetView>
  </sheetViews>
  <sheetFormatPr defaultRowHeight="18.75" x14ac:dyDescent="0.4"/>
  <cols>
    <col min="22" max="22" width="10.25" customWidth="1"/>
    <col min="32" max="32" width="9.875" bestFit="1" customWidth="1"/>
  </cols>
  <sheetData>
    <row r="1" spans="22:33" x14ac:dyDescent="0.4">
      <c r="V1" t="s">
        <v>6</v>
      </c>
      <c r="W1" s="6">
        <v>30.000066757202148</v>
      </c>
      <c r="Y1" s="2">
        <f>COS(RADIANS(rX))</f>
        <v>0.86602482121736235</v>
      </c>
      <c r="Z1" s="3">
        <v>0</v>
      </c>
      <c r="AA1" s="2">
        <f>SIN(RADIANS(rX))</f>
        <v>0.50000100903441747</v>
      </c>
      <c r="AB1" s="3">
        <v>0</v>
      </c>
      <c r="AC1" s="3">
        <v>1</v>
      </c>
      <c r="AD1" s="3">
        <v>0</v>
      </c>
      <c r="AE1" s="2">
        <f>-SIN(RADIANS(rX))</f>
        <v>-0.50000100903441747</v>
      </c>
      <c r="AF1" s="3">
        <v>0</v>
      </c>
      <c r="AG1" s="2">
        <f>COS(RADIANS(rX))</f>
        <v>0.86602482121736235</v>
      </c>
    </row>
    <row r="2" spans="22:33" x14ac:dyDescent="0.4">
      <c r="V2" t="s">
        <v>7</v>
      </c>
      <c r="W2" s="6">
        <v>6.0000500679016113</v>
      </c>
      <c r="Y2" s="3">
        <v>1</v>
      </c>
      <c r="Z2" s="3">
        <v>0</v>
      </c>
      <c r="AA2" s="3">
        <v>0</v>
      </c>
      <c r="AB2" s="3">
        <v>0</v>
      </c>
      <c r="AC2" s="2">
        <f>COS(RADIANS(rY))</f>
        <v>0.99452180402572399</v>
      </c>
      <c r="AD2" s="2">
        <f>-SIN(RADIANS(rY))</f>
        <v>-0.10452933233030597</v>
      </c>
      <c r="AE2" s="3">
        <v>0</v>
      </c>
      <c r="AF2" s="2">
        <f>SIN(RADIANS(rY))</f>
        <v>0.10452933233030597</v>
      </c>
      <c r="AG2" s="2">
        <f>COS(RADIANS(rY))</f>
        <v>0.99452180402572399</v>
      </c>
    </row>
    <row r="3" spans="22:33" x14ac:dyDescent="0.4">
      <c r="V3" t="s">
        <v>8</v>
      </c>
      <c r="W3" s="6">
        <v>0</v>
      </c>
      <c r="Y3" s="2">
        <f>COS(RADIANS(-rZ))</f>
        <v>1</v>
      </c>
      <c r="Z3" s="2">
        <f>-SIN(RADIANS(-rZ))</f>
        <v>0</v>
      </c>
      <c r="AA3" s="3">
        <v>0</v>
      </c>
      <c r="AB3" s="2">
        <f>SIN(RADIANS(-rZ))</f>
        <v>0</v>
      </c>
      <c r="AC3" s="2">
        <f>COS(RADIANS(-rZ))</f>
        <v>1</v>
      </c>
      <c r="AD3" s="3">
        <v>0</v>
      </c>
      <c r="AE3" s="3">
        <v>0</v>
      </c>
      <c r="AF3" s="3">
        <v>0</v>
      </c>
      <c r="AG3" s="3">
        <v>1</v>
      </c>
    </row>
    <row r="5" spans="22:33" x14ac:dyDescent="0.4">
      <c r="Y5" s="1"/>
      <c r="Z5" s="2"/>
    </row>
    <row r="6" spans="22:33" x14ac:dyDescent="0.4">
      <c r="W6" t="s">
        <v>0</v>
      </c>
      <c r="X6" t="s">
        <v>1</v>
      </c>
      <c r="Y6" t="s">
        <v>2</v>
      </c>
      <c r="Z6" t="s">
        <v>9</v>
      </c>
    </row>
    <row r="7" spans="22:33" x14ac:dyDescent="0.4">
      <c r="V7" t="s">
        <v>10</v>
      </c>
      <c r="W7" s="4" cm="1">
        <f t="array" ref="W7:Y7">TRANSPOSE(MMULT(_xlfn.WRAPROWS(Y3:AG3,3),MMULT(_xlfn.WRAPROWS(Y2:AG2,3),MMULT(_xlfn.WRAPROWS(Y1:AG1,3),TRANSPOSE({1,0,0})))))</f>
        <v>0.86602482121736235</v>
      </c>
      <c r="X7" s="4">
        <v>5.2264771638846942E-2</v>
      </c>
      <c r="Y7" s="4">
        <v>-0.49726190551959115</v>
      </c>
      <c r="Z7" s="5">
        <f>DEGREES(ATAN(X7/W7))</f>
        <v>3.4536229814286621</v>
      </c>
    </row>
    <row r="8" spans="22:33" x14ac:dyDescent="0.4">
      <c r="V8" t="s">
        <v>11</v>
      </c>
      <c r="W8" s="4" cm="1">
        <f t="array" ref="W8:Y8">TRANSPOSE(MMULT(_xlfn.WRAPROWS(Y3:AG3,3),MMULT(_xlfn.WRAPROWS(Y2:AG2,3),MMULT(_xlfn.WRAPROWS(Y1:AG1,3),TRANSPOSE({0,1,0})))))</f>
        <v>0</v>
      </c>
      <c r="X8" s="4">
        <v>0.99452180402572399</v>
      </c>
      <c r="Y8" s="4">
        <v>0.10452933233030597</v>
      </c>
      <c r="Z8" s="5" t="e">
        <f>DEGREES(ATAN(X8/W8))</f>
        <v>#DIV/0!</v>
      </c>
    </row>
    <row r="9" spans="22:33" x14ac:dyDescent="0.4">
      <c r="V9" t="s">
        <v>12</v>
      </c>
      <c r="W9" s="4" cm="1">
        <f t="array" ref="W9:Y9">TRANSPOSE(MMULT(_xlfn.WRAPROWS(Y3:AG3,3),MMULT(_xlfn.WRAPROWS(Y2:AG2,3),MMULT(_xlfn.WRAPROWS(Y1:AG1,3),TRANSPOSE({0,0,1})))))</f>
        <v>0.50000100903441747</v>
      </c>
      <c r="X9" s="4">
        <v>-9.0524996343323477E-2</v>
      </c>
      <c r="Y9" s="4">
        <v>0.8612805675281463</v>
      </c>
      <c r="Z9" s="5">
        <f>DEGREES(ATAN(X9/W9))</f>
        <v>-10.262214898486548</v>
      </c>
    </row>
    <row r="11" spans="22:33" x14ac:dyDescent="0.4">
      <c r="V11" t="s">
        <v>0</v>
      </c>
      <c r="W11">
        <v>0</v>
      </c>
      <c r="X11">
        <v>0</v>
      </c>
    </row>
    <row r="12" spans="22:33" x14ac:dyDescent="0.4">
      <c r="W12" s="2">
        <f>W7</f>
        <v>0.86602482121736235</v>
      </c>
      <c r="X12" s="2">
        <f>X7</f>
        <v>5.2264771638846942E-2</v>
      </c>
    </row>
    <row r="13" spans="22:33" x14ac:dyDescent="0.4">
      <c r="V13" t="s">
        <v>1</v>
      </c>
      <c r="W13">
        <v>0</v>
      </c>
      <c r="X13">
        <v>0</v>
      </c>
    </row>
    <row r="14" spans="22:33" x14ac:dyDescent="0.4">
      <c r="W14" s="2">
        <f>W8</f>
        <v>0</v>
      </c>
      <c r="X14" s="2">
        <f>X8</f>
        <v>0.99452180402572399</v>
      </c>
    </row>
    <row r="15" spans="22:33" x14ac:dyDescent="0.4">
      <c r="V15" t="s">
        <v>2</v>
      </c>
      <c r="W15">
        <v>0</v>
      </c>
      <c r="X15">
        <v>0</v>
      </c>
    </row>
    <row r="16" spans="22:33" x14ac:dyDescent="0.4">
      <c r="W16" s="2">
        <f>W9</f>
        <v>0.50000100903441747</v>
      </c>
      <c r="X16" s="2">
        <f>X9</f>
        <v>-9.0524996343323477E-2</v>
      </c>
    </row>
    <row r="30" spans="22:23" x14ac:dyDescent="0.4">
      <c r="V30" t="s">
        <v>4</v>
      </c>
      <c r="W30">
        <v>120</v>
      </c>
    </row>
    <row r="31" spans="22:23" x14ac:dyDescent="0.4">
      <c r="V31" t="s">
        <v>3</v>
      </c>
      <c r="W31">
        <v>50</v>
      </c>
    </row>
    <row r="32" spans="22:23" x14ac:dyDescent="0.4">
      <c r="V32" t="s">
        <v>5</v>
      </c>
      <c r="W32">
        <v>5</v>
      </c>
    </row>
    <row r="40" spans="22:35" x14ac:dyDescent="0.4">
      <c r="V40" t="s">
        <v>13</v>
      </c>
      <c r="W40">
        <v>0</v>
      </c>
      <c r="X40">
        <v>0</v>
      </c>
    </row>
    <row r="41" spans="22:35" x14ac:dyDescent="0.4">
      <c r="V41" t="s">
        <v>14</v>
      </c>
      <c r="W41">
        <v>0</v>
      </c>
      <c r="X41">
        <v>0</v>
      </c>
    </row>
    <row r="42" spans="22:35" x14ac:dyDescent="0.4">
      <c r="V42" t="s">
        <v>15</v>
      </c>
      <c r="W42">
        <v>0</v>
      </c>
      <c r="X42">
        <v>0</v>
      </c>
    </row>
    <row r="44" spans="22:35" x14ac:dyDescent="0.4">
      <c r="AH44" s="2"/>
      <c r="AI44" s="2"/>
    </row>
    <row r="45" spans="22:35" x14ac:dyDescent="0.4">
      <c r="AH45" s="2"/>
      <c r="AI45" s="2"/>
    </row>
    <row r="47" spans="22:35" x14ac:dyDescent="0.4">
      <c r="X47" s="2"/>
      <c r="Y47" s="2"/>
      <c r="AC47" s="2"/>
      <c r="AD47" s="2"/>
    </row>
    <row r="48" spans="22:35" x14ac:dyDescent="0.4">
      <c r="X48" s="2"/>
      <c r="Y48" s="2"/>
      <c r="AC48" s="2"/>
      <c r="AD48" s="2"/>
    </row>
    <row r="50" spans="24:35" x14ac:dyDescent="0.4">
      <c r="X50" s="2"/>
      <c r="Y50" s="2"/>
      <c r="AC50" s="2"/>
      <c r="AD50" s="2"/>
      <c r="AH50" s="2"/>
      <c r="AI50" s="2"/>
    </row>
    <row r="51" spans="24:35" x14ac:dyDescent="0.4">
      <c r="X51" s="2"/>
      <c r="Y51" s="2"/>
      <c r="AC51" s="2"/>
      <c r="AD51" s="2"/>
      <c r="AH51" s="2"/>
      <c r="AI51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3" name="Button 13">
              <controlPr defaultSize="0" print="0" autoFill="0" autoPict="0" macro="[0]!initialize">
                <anchor moveWithCells="1">
                  <from>
                    <xdr:col>16</xdr:col>
                    <xdr:colOff>381000</xdr:colOff>
                    <xdr:row>2</xdr:row>
                    <xdr:rowOff>142875</xdr:rowOff>
                  </from>
                  <to>
                    <xdr:col>18</xdr:col>
                    <xdr:colOff>200025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4" name="Button 14">
              <controlPr defaultSize="0" print="0" autoFill="0" autoPict="0" macro="[0]!initialize_arrow_size">
                <anchor moveWithCells="1">
                  <from>
                    <xdr:col>16</xdr:col>
                    <xdr:colOff>381000</xdr:colOff>
                    <xdr:row>27</xdr:row>
                    <xdr:rowOff>0</xdr:rowOff>
                  </from>
                  <to>
                    <xdr:col>18</xdr:col>
                    <xdr:colOff>200025</xdr:colOff>
                    <xdr:row>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5" name="Button 16">
              <controlPr defaultSize="0" print="0" autoFill="0" autoPict="0" macro="[0]!face1_right">
                <anchor moveWithCells="1" sizeWithCells="1">
                  <from>
                    <xdr:col>13</xdr:col>
                    <xdr:colOff>600075</xdr:colOff>
                    <xdr:row>42</xdr:row>
                    <xdr:rowOff>180975</xdr:rowOff>
                  </from>
                  <to>
                    <xdr:col>14</xdr:col>
                    <xdr:colOff>400050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" name="Button 17">
              <controlPr defaultSize="0" print="0" autoFill="0" autoPict="0" macro="[0]!face1_left">
                <anchor moveWithCells="1" sizeWithCells="1">
                  <from>
                    <xdr:col>12</xdr:col>
                    <xdr:colOff>219075</xdr:colOff>
                    <xdr:row>42</xdr:row>
                    <xdr:rowOff>180975</xdr:rowOff>
                  </from>
                  <to>
                    <xdr:col>13</xdr:col>
                    <xdr:colOff>19050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7" name="Button 18">
              <controlPr defaultSize="0" print="0" autoFill="0" autoPict="0" macro="[0]!face1_up">
                <anchor moveWithCells="1" sizeWithCells="1">
                  <from>
                    <xdr:col>13</xdr:col>
                    <xdr:colOff>66675</xdr:colOff>
                    <xdr:row>40</xdr:row>
                    <xdr:rowOff>190500</xdr:rowOff>
                  </from>
                  <to>
                    <xdr:col>13</xdr:col>
                    <xdr:colOff>561975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8" name="Button 19">
              <controlPr defaultSize="0" print="0" autoFill="0" autoPict="0" macro="[0]!face1_down">
                <anchor moveWithCells="1" sizeWithCells="1">
                  <from>
                    <xdr:col>13</xdr:col>
                    <xdr:colOff>57150</xdr:colOff>
                    <xdr:row>44</xdr:row>
                    <xdr:rowOff>171450</xdr:rowOff>
                  </from>
                  <to>
                    <xdr:col>13</xdr:col>
                    <xdr:colOff>542925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9" name="Button 20">
              <controlPr defaultSize="0" print="0" autoFill="0" autoPict="0" macro="[0]!face1_reset">
                <anchor moveWithCells="1" sizeWithCells="1">
                  <from>
                    <xdr:col>13</xdr:col>
                    <xdr:colOff>66675</xdr:colOff>
                    <xdr:row>42</xdr:row>
                    <xdr:rowOff>180975</xdr:rowOff>
                  </from>
                  <to>
                    <xdr:col>13</xdr:col>
                    <xdr:colOff>561975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0" name="Button 21">
              <controlPr defaultSize="0" print="0" autoFill="0" autoPict="0" macro="[0]!face2_right">
                <anchor moveWithCells="1" sizeWithCells="1">
                  <from>
                    <xdr:col>2</xdr:col>
                    <xdr:colOff>647700</xdr:colOff>
                    <xdr:row>42</xdr:row>
                    <xdr:rowOff>180975</xdr:rowOff>
                  </from>
                  <to>
                    <xdr:col>3</xdr:col>
                    <xdr:colOff>447675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1" name="Button 22">
              <controlPr defaultSize="0" print="0" autoFill="0" autoPict="0" macro="[0]!face2_left">
                <anchor moveWithCells="1" sizeWithCells="1">
                  <from>
                    <xdr:col>1</xdr:col>
                    <xdr:colOff>276225</xdr:colOff>
                    <xdr:row>42</xdr:row>
                    <xdr:rowOff>180975</xdr:rowOff>
                  </from>
                  <to>
                    <xdr:col>2</xdr:col>
                    <xdr:colOff>76200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2" name="Button 23">
              <controlPr defaultSize="0" print="0" autoFill="0" autoPict="0" macro="[0]!face2_up">
                <anchor moveWithCells="1" sizeWithCells="1">
                  <from>
                    <xdr:col>2</xdr:col>
                    <xdr:colOff>123825</xdr:colOff>
                    <xdr:row>40</xdr:row>
                    <xdr:rowOff>190500</xdr:rowOff>
                  </from>
                  <to>
                    <xdr:col>2</xdr:col>
                    <xdr:colOff>619125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3" name="Button 24">
              <controlPr defaultSize="0" print="0" autoFill="0" autoPict="0" macro="[0]!face2_down">
                <anchor moveWithCells="1" sizeWithCells="1">
                  <from>
                    <xdr:col>2</xdr:col>
                    <xdr:colOff>104775</xdr:colOff>
                    <xdr:row>44</xdr:row>
                    <xdr:rowOff>171450</xdr:rowOff>
                  </from>
                  <to>
                    <xdr:col>2</xdr:col>
                    <xdr:colOff>600075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4" name="Button 25">
              <controlPr defaultSize="0" print="0" autoFill="0" autoPict="0" macro="[0]!face2_reset">
                <anchor moveWithCells="1" sizeWithCells="1">
                  <from>
                    <xdr:col>2</xdr:col>
                    <xdr:colOff>114300</xdr:colOff>
                    <xdr:row>42</xdr:row>
                    <xdr:rowOff>180975</xdr:rowOff>
                  </from>
                  <to>
                    <xdr:col>2</xdr:col>
                    <xdr:colOff>609600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5" name="Button 26">
              <controlPr defaultSize="0" print="0" autoFill="0" autoPict="0" macro="[0]!face3_right">
                <anchor moveWithCells="1" sizeWithCells="1">
                  <from>
                    <xdr:col>11</xdr:col>
                    <xdr:colOff>600075</xdr:colOff>
                    <xdr:row>3</xdr:row>
                    <xdr:rowOff>200025</xdr:rowOff>
                  </from>
                  <to>
                    <xdr:col>12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6" name="Button 27">
              <controlPr defaultSize="0" print="0" autoFill="0" autoPict="0" macro="[0]!face3_left">
                <anchor moveWithCells="1" sizeWithCells="1">
                  <from>
                    <xdr:col>10</xdr:col>
                    <xdr:colOff>228600</xdr:colOff>
                    <xdr:row>3</xdr:row>
                    <xdr:rowOff>200025</xdr:rowOff>
                  </from>
                  <to>
                    <xdr:col>11</xdr:col>
                    <xdr:colOff>28575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7" name="Button 28">
              <controlPr defaultSize="0" print="0" autoFill="0" autoPict="0" macro="[0]!face3_up">
                <anchor moveWithCells="1" sizeWithCells="1">
                  <from>
                    <xdr:col>11</xdr:col>
                    <xdr:colOff>76200</xdr:colOff>
                    <xdr:row>1</xdr:row>
                    <xdr:rowOff>219075</xdr:rowOff>
                  </from>
                  <to>
                    <xdr:col>11</xdr:col>
                    <xdr:colOff>571500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8" name="Button 29">
              <controlPr defaultSize="0" print="0" autoFill="0" autoPict="0" macro="[0]!face3_down">
                <anchor moveWithCells="1" sizeWithCells="1">
                  <from>
                    <xdr:col>11</xdr:col>
                    <xdr:colOff>57150</xdr:colOff>
                    <xdr:row>5</xdr:row>
                    <xdr:rowOff>190500</xdr:rowOff>
                  </from>
                  <to>
                    <xdr:col>11</xdr:col>
                    <xdr:colOff>552450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19" name="Button 30">
              <controlPr defaultSize="0" print="0" autoFill="0" autoPict="0" macro="[0]!face3_reset">
                <anchor moveWithCells="1" sizeWithCells="1">
                  <from>
                    <xdr:col>11</xdr:col>
                    <xdr:colOff>66675</xdr:colOff>
                    <xdr:row>3</xdr:row>
                    <xdr:rowOff>200025</xdr:rowOff>
                  </from>
                  <to>
                    <xdr:col>11</xdr:col>
                    <xdr:colOff>561975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Sheet1</vt:lpstr>
      <vt:lpstr>arrow_depth</vt:lpstr>
      <vt:lpstr>arrow_length</vt:lpstr>
      <vt:lpstr>arrow_width</vt:lpstr>
      <vt:lpstr>hoseix1</vt:lpstr>
      <vt:lpstr>hoseix2</vt:lpstr>
      <vt:lpstr>hoseix3</vt:lpstr>
      <vt:lpstr>hoseiy1</vt:lpstr>
      <vt:lpstr>hoseiy2</vt:lpstr>
      <vt:lpstr>hoseiy3</vt:lpstr>
      <vt:lpstr>offsetx1</vt:lpstr>
      <vt:lpstr>offsetx2</vt:lpstr>
      <vt:lpstr>offsetx3</vt:lpstr>
      <vt:lpstr>offsety1</vt:lpstr>
      <vt:lpstr>offsety2</vt:lpstr>
      <vt:lpstr>offsety3</vt:lpstr>
      <vt:lpstr>rX</vt:lpstr>
      <vt:lpstr>rY</vt:lpstr>
      <vt:lpstr>rZ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Satoshi YAMAMOTO</dc:creator>
  <cp:keywords/>
  <dc:description/>
  <cp:lastModifiedBy>Satoshi YAMAMOTO</cp:lastModifiedBy>
  <cp:revision/>
  <dcterms:created xsi:type="dcterms:W3CDTF">2023-07-27T23:51:01Z</dcterms:created>
  <dcterms:modified xsi:type="dcterms:W3CDTF">2023-09-18T05:00:24Z</dcterms:modified>
  <cp:category/>
  <cp:contentStatus/>
</cp:coreProperties>
</file>